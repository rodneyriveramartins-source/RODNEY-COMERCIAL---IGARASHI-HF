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CONSOLIDADO" sheetId="2" state="visible" r:id="rId4"/>
    <sheet name="BATATA" sheetId="3" state="visible" r:id="rId5"/>
    <sheet name="CEBOLA" sheetId="4" state="visible" r:id="rId6"/>
    <sheet name="CENOURA" sheetId="5" state="visible" r:id="rId7"/>
    <sheet name="REPOLHO" sheetId="6" state="visible" r:id="rId8"/>
    <sheet name="ALHO" sheetId="7" state="visible" r:id="rId9"/>
    <sheet name="MAÇÃ" sheetId="8" state="visible" r:id="rId10"/>
    <sheet name="BETERRABA" sheetId="9" state="visible" r:id="rId11"/>
    <sheet name="MIRTILO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<sst xmlns="http://schemas.openxmlformats.org/spreadsheetml/2006/main" count="1046" uniqueCount="93">
  <si>
    <t xml:space="preserve">RESUMO EXECUTIVO — DRE Box Ceasa Recife/PE — 1º Semestre 2026 — Igarashi HF</t>
  </si>
  <si>
    <t xml:space="preserve">Todos os valores por fórmula, ligados às abas de detalhe. Fonte: "RESULTADO 1S2026 Box RecifePE" (DRE Gerencial, relatório interno).</t>
  </si>
  <si>
    <t xml:space="preserve">CONSOLIDADO — MÊS A MÊS</t>
  </si>
  <si>
    <t xml:space="preserve">LINHA</t>
  </si>
  <si>
    <t xml:space="preserve">JANEIRO/26</t>
  </si>
  <si>
    <t xml:space="preserve">FEVEREIRO/26</t>
  </si>
  <si>
    <t xml:space="preserve">MARÇO/26</t>
  </si>
  <si>
    <t xml:space="preserve">ABRIL/26</t>
  </si>
  <si>
    <t xml:space="preserve">MAIO/26</t>
  </si>
  <si>
    <t xml:space="preserve">JUNHO/26</t>
  </si>
  <si>
    <t xml:space="preserve">ACUMULADO 1S26</t>
  </si>
  <si>
    <t xml:space="preserve">% Receita</t>
  </si>
  <si>
    <t xml:space="preserve">RECEITA LÍQUIDA</t>
  </si>
  <si>
    <t xml:space="preserve">(-) CMV</t>
  </si>
  <si>
    <t xml:space="preserve">(=) LUCRO BRUTO</t>
  </si>
  <si>
    <t xml:space="preserve">(-) DESPESAS OPERACIONAIS</t>
  </si>
  <si>
    <t xml:space="preserve">(=) RESULTADO OPERACIONAL</t>
  </si>
  <si>
    <t xml:space="preserve">(+/-) RESULTADO FINANCEIRO</t>
  </si>
  <si>
    <t xml:space="preserve">(=) RESULTADO LÍQUIDO</t>
  </si>
  <si>
    <t xml:space="preserve">ACUMULADO 1S26 — POR PRODUTO (fórmulas ligadas às abas)</t>
  </si>
  <si>
    <t xml:space="preserve">PRODUTO</t>
  </si>
  <si>
    <t xml:space="preserve">CMV</t>
  </si>
  <si>
    <t xml:space="preserve">LUCRO BRUTO</t>
  </si>
  <si>
    <t xml:space="preserve">DESPESAS OPER.</t>
  </si>
  <si>
    <t xml:space="preserve">RES. OPERACIONAL</t>
  </si>
  <si>
    <t xml:space="preserve">RES. FINANCEIRO</t>
  </si>
  <si>
    <t xml:space="preserve">RESULTADO LÍQUIDO</t>
  </si>
  <si>
    <t xml:space="preserve">MARGEM LÍQ. %</t>
  </si>
  <si>
    <t xml:space="preserve">BATATA</t>
  </si>
  <si>
    <t xml:space="preserve">CEBOLA</t>
  </si>
  <si>
    <t xml:space="preserve">CENOURA</t>
  </si>
  <si>
    <t xml:space="preserve">REPOLHO</t>
  </si>
  <si>
    <t xml:space="preserve">ALHO</t>
  </si>
  <si>
    <t xml:space="preserve">MAÇÃ</t>
  </si>
  <si>
    <t xml:space="preserve">BETERRABA</t>
  </si>
  <si>
    <t xml:space="preserve">MIRTILO</t>
  </si>
  <si>
    <t xml:space="preserve">TOTAL (soma produtos)</t>
  </si>
  <si>
    <t xml:space="preserve">Conferência: a linha TOTAL deve bater com a aba CONSOLIDADO (diferenças de centavos = arredondamento da fonte).</t>
  </si>
  <si>
    <t xml:space="preserve">DRE GERENCIAL — CONSOLIDADO — Box Ceasa Recife/PE — 1º Semestre 2026</t>
  </si>
  <si>
    <t xml:space="preserve">Fonte: "RESULTADO 1S2026 Box RecifePE" (DRE Gerencial, relatório interno Igarashi HF). ACUMULADO e % por fórmula — diferenças de até R$ 0,02 vs. o relatório-fonte são arredondamento dos meses na fonte.</t>
  </si>
  <si>
    <t xml:space="preserve">(-) Devoluções de Vendas</t>
  </si>
  <si>
    <t xml:space="preserve">(-) CMV BATATA</t>
  </si>
  <si>
    <t xml:space="preserve">(-) CMV CEBOLA</t>
  </si>
  <si>
    <t xml:space="preserve">(-) CMV CENOURA</t>
  </si>
  <si>
    <t xml:space="preserve">(-) CMV ALHO</t>
  </si>
  <si>
    <t xml:space="preserve">(-) CMV REPOLHO</t>
  </si>
  <si>
    <t xml:space="preserve">(-) CMV BETERRABA</t>
  </si>
  <si>
    <t xml:space="preserve">(-) CMV MIRTILO</t>
  </si>
  <si>
    <t xml:space="preserve">(-) CMV MAÇÃ</t>
  </si>
  <si>
    <t xml:space="preserve">(-) Perdas de Mercadorias</t>
  </si>
  <si>
    <t xml:space="preserve">Devoluções/Descontos Compras</t>
  </si>
  <si>
    <t xml:space="preserve">Folha de Pagamento (Bruto)</t>
  </si>
  <si>
    <t xml:space="preserve">NF Rivera Consultoria (Rodney)</t>
  </si>
  <si>
    <t xml:space="preserve">Vale Transporte e Vale Alimentação</t>
  </si>
  <si>
    <t xml:space="preserve">FGTS</t>
  </si>
  <si>
    <t xml:space="preserve">INSS Patronal</t>
  </si>
  <si>
    <t xml:space="preserve">Uniformes e Material Segurança</t>
  </si>
  <si>
    <t xml:space="preserve">PCMSO e Segurança no Trabalho</t>
  </si>
  <si>
    <t xml:space="preserve">Limpeza do box</t>
  </si>
  <si>
    <t xml:space="preserve">Alimentação/Café</t>
  </si>
  <si>
    <t xml:space="preserve">Aluguel do Box</t>
  </si>
  <si>
    <t xml:space="preserve">Aluguel de Equipamentos e Veículos</t>
  </si>
  <si>
    <t xml:space="preserve">Fretes c/ Entregas e Transferências</t>
  </si>
  <si>
    <t xml:space="preserve">Taxa CEASA - Entrada de Caminhões</t>
  </si>
  <si>
    <t xml:space="preserve">Software e Informática</t>
  </si>
  <si>
    <t xml:space="preserve">Viagens e Locomoção</t>
  </si>
  <si>
    <t xml:space="preserve">ICMS</t>
  </si>
  <si>
    <t xml:space="preserve">PIS/COFINS e outros Tributos</t>
  </si>
  <si>
    <t xml:space="preserve">Serviços Contábeis</t>
  </si>
  <si>
    <t xml:space="preserve">Tarifas Bancárias (Débito C/C)</t>
  </si>
  <si>
    <t xml:space="preserve">Tarifas Bancárias (Máq.Cartões)</t>
  </si>
  <si>
    <t xml:space="preserve">Taxas/Licenças e Despesas Cartorárias</t>
  </si>
  <si>
    <t xml:space="preserve">Manutenção Geral</t>
  </si>
  <si>
    <t xml:space="preserve">Material de Uso e Consumo</t>
  </si>
  <si>
    <t xml:space="preserve">Reforma/Manutenção do Box</t>
  </si>
  <si>
    <t xml:space="preserve">Alarme Monitorado</t>
  </si>
  <si>
    <t xml:space="preserve">Outras Despesas Gerais</t>
  </si>
  <si>
    <t xml:space="preserve">(+) Descontos Recebidos de Fornecedores</t>
  </si>
  <si>
    <t xml:space="preserve">(+) Multas e Juros Recebidos</t>
  </si>
  <si>
    <t xml:space="preserve">(+) Rendimentos c/ Aplicações Financeiras</t>
  </si>
  <si>
    <t xml:space="preserve">(-) Descontos Concedidos a Clientes</t>
  </si>
  <si>
    <t xml:space="preserve">(-) Juros/Multas Pagos</t>
  </si>
  <si>
    <t xml:space="preserve">(=) RESULTADO ANTES DO IRPJ e CSLL</t>
  </si>
  <si>
    <t xml:space="preserve">(-) IRPJ/CSLL (Tributos s/ Resultado)</t>
  </si>
  <si>
    <t xml:space="preserve">ANÁLISE VERTICAL — % da Receita Líquida (fórmulas)</t>
  </si>
  <si>
    <t xml:space="preserve">DRE GERENCIAL — BATATA — Box Ceasa Recife/PE — 1º Semestre 2026</t>
  </si>
  <si>
    <t xml:space="preserve">DRE GERENCIAL — CEBOLA — Box Ceasa Recife/PE — 1º Semestre 2026</t>
  </si>
  <si>
    <t xml:space="preserve">DRE GERENCIAL — CENOURA — Box Ceasa Recife/PE — 1º Semestre 2026</t>
  </si>
  <si>
    <t xml:space="preserve">DRE GERENCIAL — REPOLHO — Box Ceasa Recife/PE — 1º Semestre 2026</t>
  </si>
  <si>
    <t xml:space="preserve">DRE GERENCIAL — ALHO — Box Ceasa Recife/PE — 1º Semestre 2026</t>
  </si>
  <si>
    <t xml:space="preserve">DRE GERENCIAL — MAÇÃ — Box Ceasa Recife/PE — 1º Semestre 2026</t>
  </si>
  <si>
    <t xml:space="preserve">DRE GERENCIAL — BETERRABA — Box Ceasa Recife/PE — 1º Semestre 2026</t>
  </si>
  <si>
    <t xml:space="preserve">DRE GERENCIAL — MIRTILO — Box Ceasa Recife/PE — 1º Semestre 2026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</si>
</sst>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R$ &quot;#,##0.00;[RED]&quot;-R$ &quot;#,##0.00"/>
    <numFmt numFmtId="166" formatCode="0.0%;[RED]\-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DAF1D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008000"/>
      <name val="Arial"/>
      <family val="0"/>
      <charset val="1"/>
    </font>
    <font>
      <sz val="9"/>
      <color rgb="FF008000"/>
      <name val="Arial"/>
      <family val="0"/>
      <charset val="1"/>
    </font>
    <font>
      <i val="true"/>
      <sz val="8"/>
      <color rgb="FF666666"/>
      <name val="Arial"/>
      <family val="0"/>
      <charset val="1"/>
    </font>
    <font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51F20"/>
        <bgColor rgb="FF0A2E2F"/>
      </patternFill>
    </fill>
    <fill>
      <patternFill patternType="solid">
        <fgColor rgb="FF0A2E2F"/>
        <bgColor rgb="FF051F20"/>
      </patternFill>
    </fill>
    <fill>
      <patternFill patternType="solid">
        <fgColor rgb="FFF4FAF5"/>
        <bgColor rgb="FFFFFFFF"/>
      </patternFill>
    </fill>
    <fill>
      <patternFill patternType="solid">
        <fgColor rgb="FFF5EED5"/>
        <bgColor rgb="FFF4FAF5"/>
      </patternFill>
    </fill>
    <fill>
      <patternFill patternType="solid">
        <fgColor rgb="FFDAF1DE"/>
        <bgColor rgb="FFF5EED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DDCC"/>
      </left>
      <right style="thin">
        <color rgb="FFCCDDCC"/>
      </right>
      <top style="thin">
        <color rgb="FFCCDDCC"/>
      </top>
      <bottom style="thin">
        <color rgb="FFCCDD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EED5"/>
      <rgbColor rgb="FFF4FAF5"/>
      <rgbColor rgb="FF660066"/>
      <rgbColor rgb="FFFF8080"/>
      <rgbColor rgb="FF0066CC"/>
      <rgbColor rgb="FFCCDD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AF1D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51F20"/>
      <rgbColor rgb="FF339966"/>
      <rgbColor rgb="FF0A2E2F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2" style="0" width="17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</row>
    <row r="5" customFormat="false" ht="15" hidden="false" customHeight="false" outlineLevel="0" collapsed="false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</row>
    <row r="6" customFormat="false" ht="15" hidden="false" customHeight="false" outlineLevel="0" collapsed="false">
      <c r="A6" s="6" t="s">
        <v>12</v>
      </c>
      <c r="B6" s="7" t="n">
        <f aca="false">CONSOLIDADO!B4</f>
        <v>4216602.61</v>
      </c>
      <c r="C6" s="7" t="n">
        <f aca="false">CONSOLIDADO!C4</f>
        <v>4053441.74</v>
      </c>
      <c r="D6" s="7" t="n">
        <f aca="false">CONSOLIDADO!D4</f>
        <v>6886368.29</v>
      </c>
      <c r="E6" s="7" t="n">
        <f aca="false">CONSOLIDADO!E4</f>
        <v>5695913.27</v>
      </c>
      <c r="F6" s="7" t="n">
        <f aca="false">CONSOLIDADO!F4</f>
        <v>9746787.41</v>
      </c>
      <c r="G6" s="7" t="n">
        <f aca="false">CONSOLIDADO!G4</f>
        <v>9673245.46</v>
      </c>
      <c r="H6" s="7" t="n">
        <f aca="false">CONSOLIDADO!H4</f>
        <v>40272358.78</v>
      </c>
      <c r="I6" s="8" t="n">
        <f aca="false">IF(H$6=0,0,H6/H$6)</f>
        <v>1</v>
      </c>
    </row>
    <row r="7" customFormat="false" ht="15" hidden="false" customHeight="false" outlineLevel="0" collapsed="false">
      <c r="A7" s="9" t="s">
        <v>13</v>
      </c>
      <c r="B7" s="10" t="n">
        <f aca="false">CONSOLIDADO!B14</f>
        <v>3965797.7</v>
      </c>
      <c r="C7" s="10" t="n">
        <f aca="false">CONSOLIDADO!C14</f>
        <v>3653568.28</v>
      </c>
      <c r="D7" s="10" t="n">
        <f aca="false">CONSOLIDADO!D14</f>
        <v>7198070.33</v>
      </c>
      <c r="E7" s="10" t="n">
        <f aca="false">CONSOLIDADO!E14</f>
        <v>5340582.12</v>
      </c>
      <c r="F7" s="10" t="n">
        <f aca="false">CONSOLIDADO!F14</f>
        <v>9321557.81</v>
      </c>
      <c r="G7" s="10" t="n">
        <f aca="false">CONSOLIDADO!G14</f>
        <v>9633137.54</v>
      </c>
      <c r="H7" s="10" t="n">
        <f aca="false">CONSOLIDADO!H14</f>
        <v>39112713.78</v>
      </c>
      <c r="I7" s="8" t="n">
        <f aca="false">IF(H$6=0,0,H7/H$6)</f>
        <v>0.971204939687419</v>
      </c>
    </row>
    <row r="8" customFormat="false" ht="15" hidden="false" customHeight="false" outlineLevel="0" collapsed="false">
      <c r="A8" s="6" t="s">
        <v>14</v>
      </c>
      <c r="B8" s="7" t="n">
        <f aca="false">CONSOLIDADO!B25</f>
        <v>250804.91</v>
      </c>
      <c r="C8" s="7" t="n">
        <f aca="false">CONSOLIDADO!C25</f>
        <v>399873.46</v>
      </c>
      <c r="D8" s="7" t="n">
        <f aca="false">CONSOLIDADO!D25</f>
        <v>-311702.04</v>
      </c>
      <c r="E8" s="7" t="n">
        <f aca="false">CONSOLIDADO!E25</f>
        <v>355331.15</v>
      </c>
      <c r="F8" s="7" t="n">
        <f aca="false">CONSOLIDADO!F25</f>
        <v>425229.6</v>
      </c>
      <c r="G8" s="7" t="n">
        <f aca="false">CONSOLIDADO!G25</f>
        <v>40107.92</v>
      </c>
      <c r="H8" s="7" t="n">
        <f aca="false">CONSOLIDADO!H25</f>
        <v>1159645</v>
      </c>
      <c r="I8" s="8" t="n">
        <f aca="false">IF(H$6=0,0,H8/H$6)</f>
        <v>0.028795060312581</v>
      </c>
    </row>
    <row r="9" customFormat="false" ht="15" hidden="false" customHeight="false" outlineLevel="0" collapsed="false">
      <c r="A9" s="9" t="s">
        <v>15</v>
      </c>
      <c r="B9" s="10" t="n">
        <f aca="false">CONSOLIDADO!B26</f>
        <v>288864.08</v>
      </c>
      <c r="C9" s="10" t="n">
        <f aca="false">CONSOLIDADO!C26</f>
        <v>311047.24</v>
      </c>
      <c r="D9" s="10" t="n">
        <f aca="false">CONSOLIDADO!D26</f>
        <v>399775.68</v>
      </c>
      <c r="E9" s="10" t="n">
        <f aca="false">CONSOLIDADO!E26</f>
        <v>414246.74</v>
      </c>
      <c r="F9" s="10" t="n">
        <f aca="false">CONSOLIDADO!F26</f>
        <v>381310.28</v>
      </c>
      <c r="G9" s="10" t="n">
        <f aca="false">CONSOLIDADO!G26</f>
        <v>447740.47</v>
      </c>
      <c r="H9" s="10" t="n">
        <f aca="false">CONSOLIDADO!H26</f>
        <v>2242984.49</v>
      </c>
      <c r="I9" s="8" t="n">
        <f aca="false">IF(H$6=0,0,H9/H$6)</f>
        <v>0.0556953840785186</v>
      </c>
    </row>
    <row r="10" customFormat="false" ht="15" hidden="false" customHeight="false" outlineLevel="0" collapsed="false">
      <c r="A10" s="6" t="s">
        <v>16</v>
      </c>
      <c r="B10" s="7" t="n">
        <f aca="false">CONSOLIDADO!B53</f>
        <v>-38059.17</v>
      </c>
      <c r="C10" s="7" t="n">
        <f aca="false">CONSOLIDADO!C53</f>
        <v>88826.21</v>
      </c>
      <c r="D10" s="7" t="n">
        <f aca="false">CONSOLIDADO!D53</f>
        <v>-711477.72</v>
      </c>
      <c r="E10" s="7" t="n">
        <f aca="false">CONSOLIDADO!E53</f>
        <v>-58915.59</v>
      </c>
      <c r="F10" s="7" t="n">
        <f aca="false">CONSOLIDADO!F53</f>
        <v>43919.31</v>
      </c>
      <c r="G10" s="7" t="n">
        <f aca="false">CONSOLIDADO!G53</f>
        <v>-407632.55</v>
      </c>
      <c r="H10" s="7" t="n">
        <f aca="false">CONSOLIDADO!H53</f>
        <v>-1083339.51</v>
      </c>
      <c r="I10" s="8" t="n">
        <f aca="false">IF(H$6=0,0,H10/H$6)</f>
        <v>-0.0269003242625561</v>
      </c>
    </row>
    <row r="11" customFormat="false" ht="15" hidden="false" customHeight="false" outlineLevel="0" collapsed="false">
      <c r="A11" s="9" t="s">
        <v>17</v>
      </c>
      <c r="B11" s="10" t="n">
        <f aca="false">CONSOLIDADO!B54</f>
        <v>-2047.11</v>
      </c>
      <c r="C11" s="10" t="n">
        <f aca="false">CONSOLIDADO!C54</f>
        <v>19292.8</v>
      </c>
      <c r="D11" s="10" t="n">
        <f aca="false">CONSOLIDADO!D54</f>
        <v>15787.02</v>
      </c>
      <c r="E11" s="10" t="n">
        <f aca="false">CONSOLIDADO!E54</f>
        <v>25962.15</v>
      </c>
      <c r="F11" s="10" t="n">
        <f aca="false">CONSOLIDADO!F54</f>
        <v>-33546.78</v>
      </c>
      <c r="G11" s="10" t="n">
        <f aca="false">CONSOLIDADO!G54</f>
        <v>-98604.31</v>
      </c>
      <c r="H11" s="10" t="n">
        <f aca="false">CONSOLIDADO!H54</f>
        <v>-73156.23</v>
      </c>
      <c r="I11" s="8" t="n">
        <f aca="false">IF(H$6=0,0,H11/H$6)</f>
        <v>-0.00181653700493776</v>
      </c>
    </row>
    <row r="12" customFormat="false" ht="15" hidden="false" customHeight="false" outlineLevel="0" collapsed="false">
      <c r="A12" s="11" t="s">
        <v>18</v>
      </c>
      <c r="B12" s="12" t="n">
        <f aca="false">CONSOLIDADO!B62</f>
        <v>-40106.28</v>
      </c>
      <c r="C12" s="12" t="n">
        <f aca="false">CONSOLIDADO!C62</f>
        <v>108119.01</v>
      </c>
      <c r="D12" s="12" t="n">
        <f aca="false">CONSOLIDADO!D62</f>
        <v>-695690.7</v>
      </c>
      <c r="E12" s="12" t="n">
        <f aca="false">CONSOLIDADO!E62</f>
        <v>-32953.44</v>
      </c>
      <c r="F12" s="12" t="n">
        <f aca="false">CONSOLIDADO!F62</f>
        <v>10372.53</v>
      </c>
      <c r="G12" s="12" t="n">
        <f aca="false">CONSOLIDADO!G62</f>
        <v>-506236.86</v>
      </c>
      <c r="H12" s="12" t="n">
        <f aca="false">CONSOLIDADO!H62</f>
        <v>-1156495.74</v>
      </c>
      <c r="I12" s="13" t="n">
        <f aca="false">IF(H$6=0,0,H12/H$6)</f>
        <v>-0.0287168612674939</v>
      </c>
    </row>
    <row r="14" customFormat="false" ht="15" hidden="false" customHeight="false" outlineLevel="0" collapsed="false">
      <c r="A14" s="3" t="s">
        <v>19</v>
      </c>
      <c r="B14" s="3"/>
      <c r="C14" s="3"/>
      <c r="D14" s="3"/>
      <c r="E14" s="3"/>
      <c r="F14" s="3"/>
      <c r="G14" s="3"/>
      <c r="H14" s="3"/>
      <c r="I14" s="3"/>
    </row>
    <row r="15" customFormat="false" ht="15" hidden="false" customHeight="false" outlineLevel="0" collapsed="false">
      <c r="A15" s="4" t="s">
        <v>20</v>
      </c>
      <c r="B15" s="5" t="s">
        <v>12</v>
      </c>
      <c r="C15" s="5" t="s">
        <v>21</v>
      </c>
      <c r="D15" s="5" t="s">
        <v>22</v>
      </c>
      <c r="E15" s="5" t="s">
        <v>23</v>
      </c>
      <c r="F15" s="5" t="s">
        <v>24</v>
      </c>
      <c r="G15" s="5" t="s">
        <v>25</v>
      </c>
      <c r="H15" s="5" t="s">
        <v>26</v>
      </c>
      <c r="I15" s="5" t="s">
        <v>27</v>
      </c>
    </row>
    <row r="16" customFormat="false" ht="15" hidden="false" customHeight="false" outlineLevel="0" collapsed="false">
      <c r="A16" s="6" t="s">
        <v>28</v>
      </c>
      <c r="B16" s="14" t="n">
        <f aca="false">BATATA!H4</f>
        <v>31766429.33</v>
      </c>
      <c r="C16" s="14" t="n">
        <f aca="false">BATATA!H7</f>
        <v>30168529.63</v>
      </c>
      <c r="D16" s="14" t="n">
        <f aca="false">BATATA!H11</f>
        <v>1597899.7</v>
      </c>
      <c r="E16" s="14" t="n">
        <f aca="false">BATATA!H12</f>
        <v>1752892.99</v>
      </c>
      <c r="F16" s="14" t="n">
        <f aca="false">BATATA!H39</f>
        <v>-154993.29</v>
      </c>
      <c r="G16" s="14" t="n">
        <f aca="false">BATATA!H40</f>
        <v>-63181.25</v>
      </c>
      <c r="H16" s="14" t="n">
        <f aca="false">BATATA!H48</f>
        <v>-218174.56</v>
      </c>
      <c r="I16" s="8" t="n">
        <f aca="false">IF(B16=0,0,H16/B16)</f>
        <v>-0.00686808573080505</v>
      </c>
    </row>
    <row r="17" customFormat="false" ht="15" hidden="false" customHeight="false" outlineLevel="0" collapsed="false">
      <c r="A17" s="9" t="s">
        <v>29</v>
      </c>
      <c r="B17" s="15" t="n">
        <f aca="false">CEBOLA!H4</f>
        <v>4912302.45</v>
      </c>
      <c r="C17" s="15" t="n">
        <f aca="false">CEBOLA!H7</f>
        <v>5408175.35</v>
      </c>
      <c r="D17" s="15" t="n">
        <f aca="false">CEBOLA!H11</f>
        <v>-495872.9</v>
      </c>
      <c r="E17" s="15" t="n">
        <f aca="false">CEBOLA!H12</f>
        <v>282072.97</v>
      </c>
      <c r="F17" s="15" t="n">
        <f aca="false">CEBOLA!H39</f>
        <v>-777945.88</v>
      </c>
      <c r="G17" s="15" t="n">
        <f aca="false">CEBOLA!H40</f>
        <v>-9913.36</v>
      </c>
      <c r="H17" s="15" t="n">
        <f aca="false">CEBOLA!H48</f>
        <v>-787859.24</v>
      </c>
      <c r="I17" s="16" t="n">
        <f aca="false">IF(B17=0,0,H17/B17)</f>
        <v>-0.160384920924403</v>
      </c>
    </row>
    <row r="18" customFormat="false" ht="15" hidden="false" customHeight="false" outlineLevel="0" collapsed="false">
      <c r="A18" s="6" t="s">
        <v>30</v>
      </c>
      <c r="B18" s="14" t="n">
        <f aca="false">CENOURA!H4</f>
        <v>2340573.86</v>
      </c>
      <c r="C18" s="14" t="n">
        <f aca="false">CENOURA!H7</f>
        <v>2340081.11</v>
      </c>
      <c r="D18" s="14" t="n">
        <f aca="false">CENOURA!H11</f>
        <v>492.75</v>
      </c>
      <c r="E18" s="14" t="n">
        <f aca="false">CENOURA!H12</f>
        <v>134593.98</v>
      </c>
      <c r="F18" s="14" t="n">
        <f aca="false">CENOURA!H39</f>
        <v>-134101.21</v>
      </c>
      <c r="G18" s="14" t="n">
        <f aca="false">CENOURA!H40</f>
        <v>-81.1100000000001</v>
      </c>
      <c r="H18" s="14" t="n">
        <f aca="false">CENOURA!H48</f>
        <v>-134182.32</v>
      </c>
      <c r="I18" s="8" t="n">
        <f aca="false">IF(B18=0,0,H18/B18)</f>
        <v>-0.0573288125160895</v>
      </c>
    </row>
    <row r="19" customFormat="false" ht="15" hidden="false" customHeight="false" outlineLevel="0" collapsed="false">
      <c r="A19" s="9" t="s">
        <v>31</v>
      </c>
      <c r="B19" s="15" t="n">
        <f aca="false">REPOLHO!H4</f>
        <v>518856.76</v>
      </c>
      <c r="C19" s="15" t="n">
        <f aca="false">REPOLHO!H7</f>
        <v>572859.91</v>
      </c>
      <c r="D19" s="15" t="n">
        <f aca="false">REPOLHO!H11</f>
        <v>-54003.15</v>
      </c>
      <c r="E19" s="15" t="n">
        <f aca="false">REPOLHO!H12</f>
        <v>32362.08</v>
      </c>
      <c r="F19" s="15" t="n">
        <f aca="false">REPOLHO!H39</f>
        <v>-86365.23</v>
      </c>
      <c r="G19" s="15" t="n">
        <f aca="false">REPOLHO!H40</f>
        <v>219.8</v>
      </c>
      <c r="H19" s="15" t="n">
        <f aca="false">REPOLHO!H48</f>
        <v>-86145.44</v>
      </c>
      <c r="I19" s="16" t="n">
        <f aca="false">IF(B19=0,0,H19/B19)</f>
        <v>-0.166029329559087</v>
      </c>
    </row>
    <row r="20" customFormat="false" ht="15" hidden="false" customHeight="false" outlineLevel="0" collapsed="false">
      <c r="A20" s="6" t="s">
        <v>32</v>
      </c>
      <c r="B20" s="14" t="n">
        <f aca="false">ALHO!H4</f>
        <v>424275</v>
      </c>
      <c r="C20" s="14" t="n">
        <f aca="false">ALHO!H7</f>
        <v>362979.12</v>
      </c>
      <c r="D20" s="14" t="n">
        <f aca="false">ALHO!H11</f>
        <v>61295.88</v>
      </c>
      <c r="E20" s="14" t="n">
        <f aca="false">ALHO!H12</f>
        <v>24118.07</v>
      </c>
      <c r="F20" s="14" t="n">
        <f aca="false">ALHO!H39</f>
        <v>37177.81</v>
      </c>
      <c r="G20" s="14" t="n">
        <f aca="false">ALHO!H40</f>
        <v>63.35</v>
      </c>
      <c r="H20" s="14" t="n">
        <f aca="false">ALHO!H48</f>
        <v>37241.15</v>
      </c>
      <c r="I20" s="8" t="n">
        <f aca="false">IF(B20=0,0,H20/B20)</f>
        <v>0.0877759707736728</v>
      </c>
    </row>
    <row r="21" customFormat="false" ht="15" hidden="false" customHeight="false" outlineLevel="0" collapsed="false">
      <c r="A21" s="9" t="s">
        <v>33</v>
      </c>
      <c r="B21" s="15" t="n">
        <f aca="false">MAÇÃ!H4</f>
        <v>219900</v>
      </c>
      <c r="C21" s="15" t="n">
        <f aca="false">MAÇÃ!H7</f>
        <v>171316.68</v>
      </c>
      <c r="D21" s="15" t="n">
        <f aca="false">MAÇÃ!H10</f>
        <v>48583.32</v>
      </c>
      <c r="E21" s="15" t="n">
        <f aca="false">MAÇÃ!H11</f>
        <v>11778.32</v>
      </c>
      <c r="F21" s="15" t="n">
        <f aca="false">MAÇÃ!H38</f>
        <v>36805</v>
      </c>
      <c r="G21" s="15" t="n">
        <f aca="false">MAÇÃ!H39</f>
        <v>-88.48</v>
      </c>
      <c r="H21" s="15" t="n">
        <f aca="false">MAÇÃ!H47</f>
        <v>36716.53</v>
      </c>
      <c r="I21" s="16" t="n">
        <f aca="false">IF(B21=0,0,H21/B21)</f>
        <v>0.166969213278763</v>
      </c>
    </row>
    <row r="22" customFormat="false" ht="15" hidden="false" customHeight="false" outlineLevel="0" collapsed="false">
      <c r="A22" s="6" t="s">
        <v>34</v>
      </c>
      <c r="B22" s="14" t="n">
        <f aca="false">BETERRABA!H4</f>
        <v>69112.38</v>
      </c>
      <c r="C22" s="14" t="n">
        <f aca="false">BETERRABA!H7</f>
        <v>71821.45</v>
      </c>
      <c r="D22" s="14" t="n">
        <f aca="false">BETERRABA!H11</f>
        <v>-2709.07</v>
      </c>
      <c r="E22" s="14" t="n">
        <f aca="false">BETERRABA!H12</f>
        <v>3840.82</v>
      </c>
      <c r="F22" s="14" t="n">
        <f aca="false">BETERRABA!H39</f>
        <v>-6549.9</v>
      </c>
      <c r="G22" s="14" t="n">
        <f aca="false">BETERRABA!H40</f>
        <v>-198.17</v>
      </c>
      <c r="H22" s="14" t="n">
        <f aca="false">BETERRABA!H48</f>
        <v>-6748.08</v>
      </c>
      <c r="I22" s="8" t="n">
        <f aca="false">IF(B22=0,0,H22/B22)</f>
        <v>-0.0976392362699707</v>
      </c>
    </row>
    <row r="23" customFormat="false" ht="15" hidden="false" customHeight="false" outlineLevel="0" collapsed="false">
      <c r="A23" s="9" t="s">
        <v>35</v>
      </c>
      <c r="B23" s="15" t="n">
        <f aca="false">MIRTILO!H4</f>
        <v>20909</v>
      </c>
      <c r="C23" s="15" t="n">
        <f aca="false">MIRTILO!H7</f>
        <v>16950.52</v>
      </c>
      <c r="D23" s="15" t="n">
        <f aca="false">MIRTILO!H11</f>
        <v>3958.48</v>
      </c>
      <c r="E23" s="15" t="n">
        <f aca="false">MIRTILO!H12</f>
        <v>1325.24</v>
      </c>
      <c r="F23" s="15" t="n">
        <f aca="false">MIRTILO!H39</f>
        <v>2633.24</v>
      </c>
      <c r="G23" s="15" t="n">
        <f aca="false">MIRTILO!H40</f>
        <v>22.99</v>
      </c>
      <c r="H23" s="15" t="n">
        <f aca="false">MIRTILO!H48</f>
        <v>2656.21</v>
      </c>
      <c r="I23" s="16" t="n">
        <f aca="false">IF(B23=0,0,H23/B23)</f>
        <v>0.127036682768186</v>
      </c>
    </row>
    <row r="24" customFormat="false" ht="15" hidden="false" customHeight="false" outlineLevel="0" collapsed="false">
      <c r="A24" s="17" t="s">
        <v>36</v>
      </c>
      <c r="B24" s="18" t="n">
        <f aca="false">SUM(B16:B23)</f>
        <v>40272358.78</v>
      </c>
      <c r="C24" s="18" t="n">
        <f aca="false">SUM(C16:C23)</f>
        <v>39112713.77</v>
      </c>
      <c r="D24" s="18" t="n">
        <f aca="false">SUM(D16:D23)</f>
        <v>1159645.01</v>
      </c>
      <c r="E24" s="18" t="n">
        <f aca="false">SUM(E16:E23)</f>
        <v>2242984.47</v>
      </c>
      <c r="F24" s="18" t="n">
        <f aca="false">SUM(F16:F23)</f>
        <v>-1083339.46</v>
      </c>
      <c r="G24" s="18" t="n">
        <f aca="false">SUM(G16:G23)</f>
        <v>-73156.23</v>
      </c>
      <c r="H24" s="18" t="n">
        <f aca="false">SUM(H16:H23)</f>
        <v>-1156495.75</v>
      </c>
      <c r="I24" s="19" t="n">
        <f aca="false">IF(B24=0,0,H24/B24)</f>
        <v>-0.0287168615158032</v>
      </c>
    </row>
    <row r="25" customFormat="false" ht="15" hidden="false" customHeight="false" outlineLevel="0" collapsed="false">
      <c r="A25" s="20" t="s">
        <v>37</v>
      </c>
    </row>
  </sheetData>
  <mergeCells count="4">
    <mergeCell ref="A1:I1"/>
    <mergeCell ref="A2:I2"/>
    <mergeCell ref="A4:I4"/>
    <mergeCell ref="A14:I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8" min="2" style="0" width="16"/>
  </cols>
  <sheetData>
    <row r="1" customFormat="false" ht="24" hidden="false" customHeight="true" outlineLevel="0" collapsed="false">
      <c r="A1" s="21" t="s">
        <v>38</v>
      </c>
      <c r="B1" s="21"/>
      <c r="C1" s="21"/>
      <c r="D1" s="21"/>
      <c r="E1" s="21"/>
      <c r="F1" s="21"/>
      <c r="G1" s="21"/>
      <c r="H1" s="21"/>
    </row>
    <row r="2" customFormat="false" ht="13.5" hidden="false" customHeight="true" outlineLevel="0" collapsed="false">
      <c r="A2" s="2" t="s">
        <v>39</v>
      </c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22" t="s">
        <v>3</v>
      </c>
      <c r="B3" s="23" t="s">
        <v>4</v>
      </c>
      <c r="C3" s="23" t="s">
        <v>5</v>
      </c>
      <c r="D3" s="23" t="s">
        <v>6</v>
      </c>
      <c r="E3" s="23" t="s">
        <v>7</v>
      </c>
      <c r="F3" s="23" t="s">
        <v>8</v>
      </c>
      <c r="G3" s="23" t="s">
        <v>9</v>
      </c>
      <c r="H3" s="23" t="s">
        <v>10</v>
      </c>
    </row>
    <row r="4" customFormat="false" ht="15" hidden="false" customHeight="false" outlineLevel="0" collapsed="false">
      <c r="A4" s="17" t="s">
        <v>12</v>
      </c>
      <c r="B4" s="18" t="n">
        <v>4216602.61</v>
      </c>
      <c r="C4" s="18" t="n">
        <v>4053441.74</v>
      </c>
      <c r="D4" s="18" t="n">
        <v>6886368.29</v>
      </c>
      <c r="E4" s="18" t="n">
        <v>5695913.27</v>
      </c>
      <c r="F4" s="18" t="n">
        <v>9746787.41</v>
      </c>
      <c r="G4" s="18" t="n">
        <v>9673245.46</v>
      </c>
      <c r="H4" s="18" t="n">
        <f aca="false">SUM(B4:G4)</f>
        <v>40272358.78</v>
      </c>
    </row>
    <row r="5" customFormat="false" ht="15" hidden="false" customHeight="false" outlineLevel="0" collapsed="false">
      <c r="A5" s="24" t="s">
        <v>28</v>
      </c>
      <c r="B5" s="25" t="n">
        <v>3242617.5</v>
      </c>
      <c r="C5" s="25" t="n">
        <v>3127824</v>
      </c>
      <c r="D5" s="25" t="n">
        <v>5562027</v>
      </c>
      <c r="E5" s="25" t="n">
        <v>4343678.12</v>
      </c>
      <c r="F5" s="25" t="n">
        <v>7960686.5</v>
      </c>
      <c r="G5" s="25" t="n">
        <v>8015027.5</v>
      </c>
      <c r="H5" s="25" t="n">
        <f aca="false">SUM(B5:G5)</f>
        <v>32251860.62</v>
      </c>
    </row>
    <row r="6" customFormat="false" ht="15" hidden="false" customHeight="false" outlineLevel="0" collapsed="false">
      <c r="A6" s="26" t="s">
        <v>29</v>
      </c>
      <c r="B6" s="27" t="n">
        <v>719585</v>
      </c>
      <c r="C6" s="27" t="n">
        <v>512193.08</v>
      </c>
      <c r="D6" s="27" t="n">
        <v>570059</v>
      </c>
      <c r="E6" s="27" t="n">
        <v>1051126</v>
      </c>
      <c r="F6" s="27" t="n">
        <v>956351.5</v>
      </c>
      <c r="G6" s="27" t="n">
        <v>1813352.6</v>
      </c>
      <c r="H6" s="27" t="n">
        <f aca="false">SUM(B6:G6)</f>
        <v>5622667.18</v>
      </c>
    </row>
    <row r="7" customFormat="false" ht="15" hidden="false" customHeight="false" outlineLevel="0" collapsed="false">
      <c r="A7" s="24" t="s">
        <v>30</v>
      </c>
      <c r="B7" s="25" t="n">
        <v>180778</v>
      </c>
      <c r="C7" s="25" t="n">
        <v>407448</v>
      </c>
      <c r="D7" s="25" t="n">
        <v>720184</v>
      </c>
      <c r="E7" s="25" t="n">
        <v>247150</v>
      </c>
      <c r="F7" s="25" t="n">
        <v>580672</v>
      </c>
      <c r="G7" s="25" t="n">
        <v>268517</v>
      </c>
      <c r="H7" s="25" t="n">
        <f aca="false">SUM(B7:G7)</f>
        <v>2404749</v>
      </c>
    </row>
    <row r="8" customFormat="false" ht="15" hidden="false" customHeight="false" outlineLevel="0" collapsed="false">
      <c r="A8" s="26" t="s">
        <v>32</v>
      </c>
      <c r="B8" s="27" t="n">
        <v>77495</v>
      </c>
      <c r="C8" s="27" t="n">
        <v>60345</v>
      </c>
      <c r="D8" s="27" t="n">
        <v>75875</v>
      </c>
      <c r="E8" s="27" t="n">
        <v>45685</v>
      </c>
      <c r="F8" s="27" t="n">
        <v>164735</v>
      </c>
      <c r="G8" s="27" t="n">
        <v>140</v>
      </c>
      <c r="H8" s="27" t="n">
        <f aca="false">SUM(B8:G8)</f>
        <v>424275</v>
      </c>
    </row>
    <row r="9" customFormat="false" ht="15" hidden="false" customHeight="false" outlineLevel="0" collapsed="false">
      <c r="A9" s="24" t="s">
        <v>31</v>
      </c>
      <c r="B9" s="25" t="n">
        <v>133831.84</v>
      </c>
      <c r="C9" s="25" t="n">
        <v>177040</v>
      </c>
      <c r="D9" s="25" t="n">
        <v>189007</v>
      </c>
      <c r="E9" s="25" t="n">
        <v>0</v>
      </c>
      <c r="F9" s="25" t="n">
        <v>53065</v>
      </c>
      <c r="G9" s="25" t="n">
        <v>71172</v>
      </c>
      <c r="H9" s="25" t="n">
        <f aca="false">SUM(B9:G9)</f>
        <v>624115.84</v>
      </c>
    </row>
    <row r="10" customFormat="false" ht="15" hidden="false" customHeight="false" outlineLevel="0" collapsed="false">
      <c r="A10" s="26" t="s">
        <v>34</v>
      </c>
      <c r="B10" s="27" t="n">
        <v>28274</v>
      </c>
      <c r="C10" s="27" t="n">
        <v>180</v>
      </c>
      <c r="D10" s="27" t="n">
        <v>0</v>
      </c>
      <c r="E10" s="27" t="n">
        <v>5970</v>
      </c>
      <c r="F10" s="27" t="n">
        <v>21464</v>
      </c>
      <c r="G10" s="27" t="n">
        <v>14599</v>
      </c>
      <c r="H10" s="27" t="n">
        <f aca="false">SUM(B10:G10)</f>
        <v>70487</v>
      </c>
    </row>
    <row r="11" customFormat="false" ht="15" hidden="false" customHeight="false" outlineLevel="0" collapsed="false">
      <c r="A11" s="24" t="s">
        <v>35</v>
      </c>
      <c r="B11" s="25" t="n">
        <v>9504</v>
      </c>
      <c r="C11" s="25" t="n">
        <v>0</v>
      </c>
      <c r="D11" s="25" t="n">
        <v>10253</v>
      </c>
      <c r="E11" s="25" t="n">
        <v>1008</v>
      </c>
      <c r="F11" s="25" t="n">
        <v>144</v>
      </c>
      <c r="G11" s="25" t="n">
        <v>0</v>
      </c>
      <c r="H11" s="25" t="n">
        <f aca="false">SUM(B11:G11)</f>
        <v>20909</v>
      </c>
    </row>
    <row r="12" customFormat="false" ht="15" hidden="false" customHeight="false" outlineLevel="0" collapsed="false">
      <c r="A12" s="26" t="s">
        <v>33</v>
      </c>
      <c r="B12" s="27" t="n">
        <v>0</v>
      </c>
      <c r="C12" s="27" t="n">
        <v>0</v>
      </c>
      <c r="D12" s="27" t="n">
        <v>0</v>
      </c>
      <c r="E12" s="27" t="n">
        <v>92286</v>
      </c>
      <c r="F12" s="27" t="n">
        <v>117262</v>
      </c>
      <c r="G12" s="27" t="n">
        <v>10352</v>
      </c>
      <c r="H12" s="27" t="n">
        <f aca="false">SUM(B12:G12)</f>
        <v>219900</v>
      </c>
    </row>
    <row r="13" customFormat="false" ht="15" hidden="false" customHeight="false" outlineLevel="0" collapsed="false">
      <c r="A13" s="24" t="s">
        <v>40</v>
      </c>
      <c r="B13" s="25" t="n">
        <v>-175482.73</v>
      </c>
      <c r="C13" s="25" t="n">
        <v>-231588.34</v>
      </c>
      <c r="D13" s="25" t="n">
        <v>-241036.71</v>
      </c>
      <c r="E13" s="25" t="n">
        <v>-90989.85</v>
      </c>
      <c r="F13" s="25" t="n">
        <v>-107592.59</v>
      </c>
      <c r="G13" s="25" t="n">
        <v>-519914.64</v>
      </c>
      <c r="H13" s="25" t="n">
        <f aca="false">SUM(B13:G13)</f>
        <v>-1366604.86</v>
      </c>
    </row>
    <row r="14" customFormat="false" ht="15" hidden="false" customHeight="false" outlineLevel="0" collapsed="false">
      <c r="A14" s="17" t="s">
        <v>13</v>
      </c>
      <c r="B14" s="18" t="n">
        <v>3965797.7</v>
      </c>
      <c r="C14" s="18" t="n">
        <v>3653568.28</v>
      </c>
      <c r="D14" s="18" t="n">
        <v>7198070.33</v>
      </c>
      <c r="E14" s="18" t="n">
        <v>5340582.12</v>
      </c>
      <c r="F14" s="18" t="n">
        <v>9321557.81</v>
      </c>
      <c r="G14" s="18" t="n">
        <v>9633137.54</v>
      </c>
      <c r="H14" s="18" t="n">
        <f aca="false">SUM(B14:G14)</f>
        <v>39112713.78</v>
      </c>
    </row>
    <row r="15" customFormat="false" ht="15" hidden="false" customHeight="false" outlineLevel="0" collapsed="false">
      <c r="A15" s="24" t="s">
        <v>41</v>
      </c>
      <c r="B15" s="25" t="n">
        <v>2900361.81</v>
      </c>
      <c r="C15" s="25" t="n">
        <v>2861817.56</v>
      </c>
      <c r="D15" s="25" t="n">
        <v>5728623.28</v>
      </c>
      <c r="E15" s="25" t="n">
        <v>4170262.99</v>
      </c>
      <c r="F15" s="25" t="n">
        <v>7455180.1</v>
      </c>
      <c r="G15" s="25" t="n">
        <v>7594807.64</v>
      </c>
      <c r="H15" s="25" t="n">
        <f aca="false">SUM(B15:G15)</f>
        <v>30711053.38</v>
      </c>
    </row>
    <row r="16" customFormat="false" ht="15" hidden="false" customHeight="false" outlineLevel="0" collapsed="false">
      <c r="A16" s="26" t="s">
        <v>42</v>
      </c>
      <c r="B16" s="27" t="n">
        <v>657296.59</v>
      </c>
      <c r="C16" s="27" t="n">
        <v>526926.43</v>
      </c>
      <c r="D16" s="27" t="n">
        <v>556425.71</v>
      </c>
      <c r="E16" s="27" t="n">
        <v>1000028.91</v>
      </c>
      <c r="F16" s="27" t="n">
        <v>910952.47</v>
      </c>
      <c r="G16" s="27" t="n">
        <v>1768745.24</v>
      </c>
      <c r="H16" s="27" t="n">
        <f aca="false">SUM(B16:G16)</f>
        <v>5420375.35</v>
      </c>
    </row>
    <row r="17" customFormat="false" ht="15" hidden="false" customHeight="false" outlineLevel="0" collapsed="false">
      <c r="A17" s="24" t="s">
        <v>43</v>
      </c>
      <c r="B17" s="25" t="n">
        <v>177209.42</v>
      </c>
      <c r="C17" s="25" t="n">
        <v>380834.49</v>
      </c>
      <c r="D17" s="25" t="n">
        <v>695594.98</v>
      </c>
      <c r="E17" s="25" t="n">
        <v>241411.48</v>
      </c>
      <c r="F17" s="25" t="n">
        <v>650678.52</v>
      </c>
      <c r="G17" s="25" t="n">
        <v>194352.22</v>
      </c>
      <c r="H17" s="25" t="n">
        <f aca="false">SUM(B17:G17)</f>
        <v>2340081.11</v>
      </c>
    </row>
    <row r="18" customFormat="false" ht="15" hidden="false" customHeight="false" outlineLevel="0" collapsed="false">
      <c r="A18" s="26" t="s">
        <v>44</v>
      </c>
      <c r="B18" s="27" t="n">
        <v>62511.4</v>
      </c>
      <c r="C18" s="27" t="n">
        <v>49291.38</v>
      </c>
      <c r="D18" s="27" t="n">
        <v>62924.5</v>
      </c>
      <c r="E18" s="27" t="n">
        <v>34987.65</v>
      </c>
      <c r="F18" s="27" t="n">
        <v>153189.58</v>
      </c>
      <c r="G18" s="27" t="n">
        <v>74.61</v>
      </c>
      <c r="H18" s="27" t="n">
        <f aca="false">SUM(B18:G18)</f>
        <v>362979.12</v>
      </c>
    </row>
    <row r="19" customFormat="false" ht="15" hidden="false" customHeight="false" outlineLevel="0" collapsed="false">
      <c r="A19" s="24" t="s">
        <v>45</v>
      </c>
      <c r="B19" s="25" t="n">
        <v>167052.97</v>
      </c>
      <c r="C19" s="25" t="n">
        <v>138532.29</v>
      </c>
      <c r="D19" s="25" t="n">
        <v>165278.66</v>
      </c>
      <c r="E19" s="25" t="n">
        <v>0</v>
      </c>
      <c r="F19" s="25" t="n">
        <v>48879.69</v>
      </c>
      <c r="G19" s="25" t="n">
        <v>62499.62</v>
      </c>
      <c r="H19" s="25" t="n">
        <f aca="false">SUM(B19:G19)</f>
        <v>582243.23</v>
      </c>
    </row>
    <row r="20" customFormat="false" ht="15" hidden="false" customHeight="false" outlineLevel="0" collapsed="false">
      <c r="A20" s="26" t="s">
        <v>46</v>
      </c>
      <c r="B20" s="27" t="n">
        <v>29762.29</v>
      </c>
      <c r="C20" s="27" t="n">
        <v>454.88</v>
      </c>
      <c r="D20" s="27" t="n">
        <v>0</v>
      </c>
      <c r="E20" s="27" t="n">
        <v>4918.05</v>
      </c>
      <c r="F20" s="27" t="n">
        <v>24954.14</v>
      </c>
      <c r="G20" s="27" t="n">
        <v>11732.09</v>
      </c>
      <c r="H20" s="27" t="n">
        <f aca="false">SUM(B20:G20)</f>
        <v>71821.45</v>
      </c>
    </row>
    <row r="21" customFormat="false" ht="15" hidden="false" customHeight="false" outlineLevel="0" collapsed="false">
      <c r="A21" s="24" t="s">
        <v>47</v>
      </c>
      <c r="B21" s="25" t="n">
        <v>7603.2</v>
      </c>
      <c r="C21" s="25" t="n">
        <v>0</v>
      </c>
      <c r="D21" s="25" t="n">
        <v>8123.2</v>
      </c>
      <c r="E21" s="25" t="n">
        <v>696.73</v>
      </c>
      <c r="F21" s="25" t="n">
        <v>116.12</v>
      </c>
      <c r="G21" s="25" t="n">
        <v>0</v>
      </c>
      <c r="H21" s="25" t="n">
        <f aca="false">SUM(B21:G21)</f>
        <v>16539.25</v>
      </c>
    </row>
    <row r="22" customFormat="false" ht="15" hidden="false" customHeight="false" outlineLevel="0" collapsed="false">
      <c r="A22" s="26" t="s">
        <v>48</v>
      </c>
      <c r="B22" s="27" t="n">
        <v>0</v>
      </c>
      <c r="C22" s="27" t="n">
        <v>0</v>
      </c>
      <c r="D22" s="27" t="n">
        <v>0</v>
      </c>
      <c r="E22" s="27" t="n">
        <v>73726.31</v>
      </c>
      <c r="F22" s="27" t="n">
        <v>89664.25</v>
      </c>
      <c r="G22" s="27" t="n">
        <v>7926.12</v>
      </c>
      <c r="H22" s="27" t="n">
        <f aca="false">SUM(B22:G22)</f>
        <v>171316.68</v>
      </c>
    </row>
    <row r="23" customFormat="false" ht="15" hidden="false" customHeight="false" outlineLevel="0" collapsed="false">
      <c r="A23" s="24" t="s">
        <v>49</v>
      </c>
      <c r="B23" s="25" t="n">
        <v>0</v>
      </c>
      <c r="C23" s="25" t="n">
        <v>0</v>
      </c>
      <c r="D23" s="25" t="n">
        <v>0</v>
      </c>
      <c r="E23" s="25" t="n">
        <v>0</v>
      </c>
      <c r="F23" s="25" t="n">
        <v>18302.94</v>
      </c>
      <c r="G23" s="25" t="n">
        <v>0</v>
      </c>
      <c r="H23" s="25" t="n">
        <f aca="false">SUM(B23:G23)</f>
        <v>18302.94</v>
      </c>
    </row>
    <row r="24" customFormat="false" ht="15" hidden="false" customHeight="false" outlineLevel="0" collapsed="false">
      <c r="A24" s="26" t="s">
        <v>50</v>
      </c>
      <c r="B24" s="27" t="n">
        <v>-36000</v>
      </c>
      <c r="C24" s="27" t="n">
        <v>-304288.75</v>
      </c>
      <c r="D24" s="27" t="n">
        <v>-18900</v>
      </c>
      <c r="E24" s="27" t="n">
        <v>-185450</v>
      </c>
      <c r="F24" s="27" t="n">
        <v>-30360</v>
      </c>
      <c r="G24" s="27" t="n">
        <v>-7000</v>
      </c>
      <c r="H24" s="27" t="n">
        <f aca="false">SUM(B24:G24)</f>
        <v>-581998.75</v>
      </c>
    </row>
    <row r="25" customFormat="false" ht="15" hidden="false" customHeight="false" outlineLevel="0" collapsed="false">
      <c r="A25" s="17" t="s">
        <v>14</v>
      </c>
      <c r="B25" s="18" t="n">
        <v>250804.91</v>
      </c>
      <c r="C25" s="18" t="n">
        <v>399873.46</v>
      </c>
      <c r="D25" s="18" t="n">
        <v>-311702.04</v>
      </c>
      <c r="E25" s="18" t="n">
        <v>355331.15</v>
      </c>
      <c r="F25" s="18" t="n">
        <v>425229.6</v>
      </c>
      <c r="G25" s="18" t="n">
        <v>40107.92</v>
      </c>
      <c r="H25" s="18" t="n">
        <f aca="false">SUM(B25:G25)</f>
        <v>1159645</v>
      </c>
    </row>
    <row r="26" customFormat="false" ht="15" hidden="false" customHeight="false" outlineLevel="0" collapsed="false">
      <c r="A26" s="17" t="s">
        <v>15</v>
      </c>
      <c r="B26" s="18" t="n">
        <v>288864.08</v>
      </c>
      <c r="C26" s="18" t="n">
        <v>311047.24</v>
      </c>
      <c r="D26" s="18" t="n">
        <v>399775.68</v>
      </c>
      <c r="E26" s="18" t="n">
        <v>414246.74</v>
      </c>
      <c r="F26" s="18" t="n">
        <v>381310.28</v>
      </c>
      <c r="G26" s="18" t="n">
        <v>447740.47</v>
      </c>
      <c r="H26" s="18" t="n">
        <f aca="false">SUM(B26:G26)</f>
        <v>2242984.49</v>
      </c>
    </row>
    <row r="27" customFormat="false" ht="15" hidden="false" customHeight="false" outlineLevel="0" collapsed="false">
      <c r="A27" s="24" t="s">
        <v>51</v>
      </c>
      <c r="B27" s="25" t="n">
        <v>41379.88</v>
      </c>
      <c r="C27" s="25" t="n">
        <v>101835.66</v>
      </c>
      <c r="D27" s="25" t="n">
        <v>123544.24</v>
      </c>
      <c r="E27" s="25" t="n">
        <v>141800.8</v>
      </c>
      <c r="F27" s="25" t="n">
        <v>171586.54</v>
      </c>
      <c r="G27" s="25" t="n">
        <v>180500.24</v>
      </c>
      <c r="H27" s="25" t="n">
        <f aca="false">SUM(B27:G27)</f>
        <v>760647.36</v>
      </c>
    </row>
    <row r="28" customFormat="false" ht="15" hidden="false" customHeight="false" outlineLevel="0" collapsed="false">
      <c r="A28" s="26" t="s">
        <v>52</v>
      </c>
      <c r="B28" s="27" t="n">
        <v>38401.77</v>
      </c>
      <c r="C28" s="27" t="n">
        <v>0</v>
      </c>
      <c r="D28" s="27" t="n">
        <v>0</v>
      </c>
      <c r="E28" s="27" t="n">
        <v>0</v>
      </c>
      <c r="F28" s="27" t="n">
        <v>0</v>
      </c>
      <c r="G28" s="27" t="n">
        <v>0</v>
      </c>
      <c r="H28" s="27" t="n">
        <f aca="false">SUM(B28:G28)</f>
        <v>38401.77</v>
      </c>
    </row>
    <row r="29" customFormat="false" ht="15" hidden="false" customHeight="false" outlineLevel="0" collapsed="false">
      <c r="A29" s="24" t="s">
        <v>53</v>
      </c>
      <c r="B29" s="25" t="n">
        <v>2411.19</v>
      </c>
      <c r="C29" s="25" t="n">
        <v>2366.1</v>
      </c>
      <c r="D29" s="25" t="n">
        <v>2215.06</v>
      </c>
      <c r="E29" s="25" t="n">
        <v>2732.69</v>
      </c>
      <c r="F29" s="25" t="n">
        <v>4719.48</v>
      </c>
      <c r="G29" s="25" t="n">
        <v>5059.91</v>
      </c>
      <c r="H29" s="25" t="n">
        <f aca="false">SUM(B29:G29)</f>
        <v>19504.43</v>
      </c>
    </row>
    <row r="30" customFormat="false" ht="15" hidden="false" customHeight="false" outlineLevel="0" collapsed="false">
      <c r="A30" s="26" t="s">
        <v>54</v>
      </c>
      <c r="B30" s="27" t="n">
        <v>2873.6</v>
      </c>
      <c r="C30" s="27" t="n">
        <v>7812.13</v>
      </c>
      <c r="D30" s="27" t="n">
        <v>9548.8</v>
      </c>
      <c r="E30" s="27" t="n">
        <v>10645.93</v>
      </c>
      <c r="F30" s="27" t="n">
        <v>13192.21</v>
      </c>
      <c r="G30" s="27" t="n">
        <v>13958.82</v>
      </c>
      <c r="H30" s="27" t="n">
        <f aca="false">SUM(B30:G30)</f>
        <v>58031.49</v>
      </c>
    </row>
    <row r="31" customFormat="false" ht="15" hidden="false" customHeight="false" outlineLevel="0" collapsed="false">
      <c r="A31" s="24" t="s">
        <v>55</v>
      </c>
      <c r="B31" s="25" t="n">
        <v>13128.75</v>
      </c>
      <c r="C31" s="25" t="n">
        <v>32279.7</v>
      </c>
      <c r="D31" s="25" t="n">
        <v>27684.35</v>
      </c>
      <c r="E31" s="25" t="n">
        <v>39362.72</v>
      </c>
      <c r="F31" s="25" t="n">
        <v>41097.58</v>
      </c>
      <c r="G31" s="25" t="n">
        <v>63487.7</v>
      </c>
      <c r="H31" s="25" t="n">
        <f aca="false">SUM(B31:G31)</f>
        <v>217040.8</v>
      </c>
    </row>
    <row r="32" customFormat="false" ht="15" hidden="false" customHeight="false" outlineLevel="0" collapsed="false">
      <c r="A32" s="26" t="s">
        <v>56</v>
      </c>
      <c r="B32" s="27" t="n">
        <v>800.03</v>
      </c>
      <c r="C32" s="27" t="n">
        <v>0</v>
      </c>
      <c r="D32" s="27" t="n">
        <v>395.96</v>
      </c>
      <c r="E32" s="27" t="n">
        <v>3653.34</v>
      </c>
      <c r="F32" s="27" t="n">
        <v>3545.73</v>
      </c>
      <c r="G32" s="27" t="n">
        <v>2238.77</v>
      </c>
      <c r="H32" s="27" t="n">
        <f aca="false">SUM(B32:G32)</f>
        <v>10633.83</v>
      </c>
    </row>
    <row r="33" customFormat="false" ht="15" hidden="false" customHeight="false" outlineLevel="0" collapsed="false">
      <c r="A33" s="24" t="s">
        <v>57</v>
      </c>
      <c r="B33" s="25" t="n">
        <v>58</v>
      </c>
      <c r="C33" s="25" t="n">
        <v>0</v>
      </c>
      <c r="D33" s="25" t="n">
        <v>416</v>
      </c>
      <c r="E33" s="25" t="n">
        <v>322.5</v>
      </c>
      <c r="F33" s="25" t="n">
        <v>689</v>
      </c>
      <c r="G33" s="25" t="n">
        <v>1936.5</v>
      </c>
      <c r="H33" s="25" t="n">
        <f aca="false">SUM(B33:G33)</f>
        <v>3422</v>
      </c>
    </row>
    <row r="34" customFormat="false" ht="15" hidden="false" customHeight="false" outlineLevel="0" collapsed="false">
      <c r="A34" s="26" t="s">
        <v>58</v>
      </c>
      <c r="B34" s="27" t="n">
        <v>1679.18</v>
      </c>
      <c r="C34" s="27" t="n">
        <v>1759.84</v>
      </c>
      <c r="D34" s="27" t="n">
        <v>1381.28</v>
      </c>
      <c r="E34" s="27" t="n">
        <v>3031.29</v>
      </c>
      <c r="F34" s="27" t="n">
        <v>2422.75</v>
      </c>
      <c r="G34" s="27" t="n">
        <v>792.65</v>
      </c>
      <c r="H34" s="27" t="n">
        <f aca="false">SUM(B34:G34)</f>
        <v>11066.99</v>
      </c>
    </row>
    <row r="35" customFormat="false" ht="15" hidden="false" customHeight="false" outlineLevel="0" collapsed="false">
      <c r="A35" s="24" t="s">
        <v>59</v>
      </c>
      <c r="B35" s="25" t="n">
        <v>224.9</v>
      </c>
      <c r="C35" s="25" t="n">
        <v>240</v>
      </c>
      <c r="D35" s="25" t="n">
        <v>140</v>
      </c>
      <c r="E35" s="25" t="n">
        <v>198</v>
      </c>
      <c r="F35" s="25" t="n">
        <v>591.22</v>
      </c>
      <c r="G35" s="25" t="n">
        <v>2121</v>
      </c>
      <c r="H35" s="25" t="n">
        <f aca="false">SUM(B35:G35)</f>
        <v>3515.12</v>
      </c>
    </row>
    <row r="36" customFormat="false" ht="15" hidden="false" customHeight="false" outlineLevel="0" collapsed="false">
      <c r="A36" s="26" t="s">
        <v>60</v>
      </c>
      <c r="B36" s="27" t="n">
        <v>36670</v>
      </c>
      <c r="C36" s="27" t="n">
        <v>36670</v>
      </c>
      <c r="D36" s="27" t="n">
        <v>36670</v>
      </c>
      <c r="E36" s="27" t="n">
        <v>41670</v>
      </c>
      <c r="F36" s="27" t="n">
        <v>41670</v>
      </c>
      <c r="G36" s="27" t="n">
        <v>48470</v>
      </c>
      <c r="H36" s="27" t="n">
        <f aca="false">SUM(B36:G36)</f>
        <v>241820</v>
      </c>
    </row>
    <row r="37" customFormat="false" ht="15" hidden="false" customHeight="false" outlineLevel="0" collapsed="false">
      <c r="A37" s="24" t="s">
        <v>61</v>
      </c>
      <c r="B37" s="25" t="n">
        <v>25167.64</v>
      </c>
      <c r="C37" s="25" t="n">
        <v>27377.76</v>
      </c>
      <c r="D37" s="25" t="n">
        <v>24200.8</v>
      </c>
      <c r="E37" s="25" t="n">
        <v>49099.65</v>
      </c>
      <c r="F37" s="25" t="n">
        <v>35326.4</v>
      </c>
      <c r="G37" s="25" t="n">
        <v>41990.6</v>
      </c>
      <c r="H37" s="25" t="n">
        <f aca="false">SUM(B37:G37)</f>
        <v>203162.85</v>
      </c>
    </row>
    <row r="38" customFormat="false" ht="15" hidden="false" customHeight="false" outlineLevel="0" collapsed="false">
      <c r="A38" s="26" t="s">
        <v>62</v>
      </c>
      <c r="B38" s="27" t="n">
        <v>9269.44</v>
      </c>
      <c r="C38" s="27" t="n">
        <v>10539</v>
      </c>
      <c r="D38" s="27" t="n">
        <v>12637.73</v>
      </c>
      <c r="E38" s="27" t="n">
        <v>26925</v>
      </c>
      <c r="F38" s="27" t="n">
        <v>44583.33</v>
      </c>
      <c r="G38" s="27" t="n">
        <v>38707.02</v>
      </c>
      <c r="H38" s="27" t="n">
        <f aca="false">SUM(B38:G38)</f>
        <v>142661.52</v>
      </c>
    </row>
    <row r="39" customFormat="false" ht="15" hidden="false" customHeight="false" outlineLevel="0" collapsed="false">
      <c r="A39" s="24" t="s">
        <v>63</v>
      </c>
      <c r="B39" s="25" t="n">
        <v>2320</v>
      </c>
      <c r="C39" s="25" t="n">
        <v>2245</v>
      </c>
      <c r="D39" s="25" t="n">
        <v>2155</v>
      </c>
      <c r="E39" s="25" t="n">
        <v>1920</v>
      </c>
      <c r="F39" s="25" t="n">
        <v>1880</v>
      </c>
      <c r="G39" s="25" t="n">
        <v>2450</v>
      </c>
      <c r="H39" s="25" t="n">
        <f aca="false">SUM(B39:G39)</f>
        <v>12970</v>
      </c>
    </row>
    <row r="40" customFormat="false" ht="15" hidden="false" customHeight="false" outlineLevel="0" collapsed="false">
      <c r="A40" s="26" t="s">
        <v>64</v>
      </c>
      <c r="B40" s="27" t="n">
        <v>1832.7</v>
      </c>
      <c r="C40" s="27" t="n">
        <v>1656.8</v>
      </c>
      <c r="D40" s="27" t="n">
        <v>1836.7</v>
      </c>
      <c r="E40" s="27" t="n">
        <v>1836.7</v>
      </c>
      <c r="F40" s="27" t="n">
        <v>1836.7</v>
      </c>
      <c r="G40" s="27" t="n">
        <v>1836.7</v>
      </c>
      <c r="H40" s="27" t="n">
        <f aca="false">SUM(B40:G40)</f>
        <v>10836.3</v>
      </c>
    </row>
    <row r="41" customFormat="false" ht="15" hidden="false" customHeight="false" outlineLevel="0" collapsed="false">
      <c r="A41" s="24" t="s">
        <v>65</v>
      </c>
      <c r="B41" s="25" t="n">
        <v>4755.57</v>
      </c>
      <c r="C41" s="25" t="n">
        <v>3263.2</v>
      </c>
      <c r="D41" s="25" t="n">
        <v>2582.88</v>
      </c>
      <c r="E41" s="25" t="n">
        <v>5082.49</v>
      </c>
      <c r="F41" s="25" t="n">
        <v>750</v>
      </c>
      <c r="G41" s="25" t="n">
        <v>500</v>
      </c>
      <c r="H41" s="25" t="n">
        <f aca="false">SUM(B41:G41)</f>
        <v>16934.14</v>
      </c>
    </row>
    <row r="42" customFormat="false" ht="15" hidden="false" customHeight="false" outlineLevel="0" collapsed="false">
      <c r="A42" s="26" t="s">
        <v>66</v>
      </c>
      <c r="B42" s="27" t="n">
        <v>82377.25</v>
      </c>
      <c r="C42" s="27" t="n">
        <v>64872.79</v>
      </c>
      <c r="D42" s="27" t="n">
        <v>122731.9</v>
      </c>
      <c r="E42" s="27" t="n">
        <v>48642.67</v>
      </c>
      <c r="F42" s="27" t="n">
        <v>0</v>
      </c>
      <c r="G42" s="27" t="n">
        <v>0</v>
      </c>
      <c r="H42" s="27" t="n">
        <f aca="false">SUM(B42:G42)</f>
        <v>318624.61</v>
      </c>
    </row>
    <row r="43" customFormat="false" ht="15" hidden="false" customHeight="false" outlineLevel="0" collapsed="false">
      <c r="A43" s="24" t="s">
        <v>67</v>
      </c>
      <c r="B43" s="25" t="n">
        <v>0</v>
      </c>
      <c r="C43" s="25" t="n">
        <v>0</v>
      </c>
      <c r="D43" s="25" t="n">
        <v>0</v>
      </c>
      <c r="E43" s="25" t="n">
        <v>0</v>
      </c>
      <c r="F43" s="25" t="n">
        <v>0</v>
      </c>
      <c r="G43" s="25" t="n">
        <v>0</v>
      </c>
      <c r="H43" s="25" t="n">
        <f aca="false">SUM(B43:G43)</f>
        <v>0</v>
      </c>
    </row>
    <row r="44" customFormat="false" ht="15" hidden="false" customHeight="false" outlineLevel="0" collapsed="false">
      <c r="A44" s="26" t="s">
        <v>68</v>
      </c>
      <c r="B44" s="27" t="n">
        <v>2100</v>
      </c>
      <c r="C44" s="27" t="n">
        <v>2100</v>
      </c>
      <c r="D44" s="27" t="n">
        <v>2100</v>
      </c>
      <c r="E44" s="27" t="n">
        <v>2100</v>
      </c>
      <c r="F44" s="27" t="n">
        <v>2100</v>
      </c>
      <c r="G44" s="27" t="n">
        <v>2100</v>
      </c>
      <c r="H44" s="27" t="n">
        <f aca="false">SUM(B44:G44)</f>
        <v>12600</v>
      </c>
    </row>
    <row r="45" customFormat="false" ht="15" hidden="false" customHeight="false" outlineLevel="0" collapsed="false">
      <c r="A45" s="24" t="s">
        <v>69</v>
      </c>
      <c r="B45" s="25" t="n">
        <v>904.62</v>
      </c>
      <c r="C45" s="25" t="n">
        <v>384.25</v>
      </c>
      <c r="D45" s="25" t="n">
        <v>1225.34</v>
      </c>
      <c r="E45" s="25" t="n">
        <v>1811.61</v>
      </c>
      <c r="F45" s="25" t="n">
        <v>1138.44</v>
      </c>
      <c r="G45" s="25" t="n">
        <v>1341.37</v>
      </c>
      <c r="H45" s="25" t="n">
        <f aca="false">SUM(B45:G45)</f>
        <v>6805.63</v>
      </c>
    </row>
    <row r="46" customFormat="false" ht="15" hidden="false" customHeight="false" outlineLevel="0" collapsed="false">
      <c r="A46" s="26" t="s">
        <v>70</v>
      </c>
      <c r="B46" s="27" t="n">
        <v>227.88</v>
      </c>
      <c r="C46" s="27" t="n">
        <v>617.37</v>
      </c>
      <c r="D46" s="27" t="n">
        <v>855.92</v>
      </c>
      <c r="E46" s="27" t="n">
        <v>667.53</v>
      </c>
      <c r="F46" s="27" t="n">
        <v>1027.54</v>
      </c>
      <c r="G46" s="27" t="n">
        <v>680.68</v>
      </c>
      <c r="H46" s="27" t="n">
        <f aca="false">SUM(B46:G46)</f>
        <v>4076.92</v>
      </c>
    </row>
    <row r="47" customFormat="false" ht="15" hidden="false" customHeight="false" outlineLevel="0" collapsed="false">
      <c r="A47" s="24" t="s">
        <v>71</v>
      </c>
      <c r="B47" s="25" t="n">
        <v>221.09</v>
      </c>
      <c r="C47" s="25" t="n">
        <v>0</v>
      </c>
      <c r="D47" s="25" t="n">
        <v>452</v>
      </c>
      <c r="E47" s="25" t="n">
        <v>70</v>
      </c>
      <c r="F47" s="25" t="n">
        <v>0</v>
      </c>
      <c r="G47" s="25" t="n">
        <v>40</v>
      </c>
      <c r="H47" s="25" t="n">
        <f aca="false">SUM(B47:G47)</f>
        <v>783.09</v>
      </c>
    </row>
    <row r="48" customFormat="false" ht="15" hidden="false" customHeight="false" outlineLevel="0" collapsed="false">
      <c r="A48" s="26" t="s">
        <v>72</v>
      </c>
      <c r="B48" s="27" t="n">
        <v>1276.08</v>
      </c>
      <c r="C48" s="27" t="n">
        <v>1136.44</v>
      </c>
      <c r="D48" s="27" t="n">
        <v>3488.56</v>
      </c>
      <c r="E48" s="27" t="n">
        <v>3206.58</v>
      </c>
      <c r="F48" s="27" t="n">
        <v>1813.26</v>
      </c>
      <c r="G48" s="27" t="n">
        <v>3957.52</v>
      </c>
      <c r="H48" s="27" t="n">
        <f aca="false">SUM(B48:G48)</f>
        <v>14878.44</v>
      </c>
    </row>
    <row r="49" customFormat="false" ht="15" hidden="false" customHeight="false" outlineLevel="0" collapsed="false">
      <c r="A49" s="24" t="s">
        <v>73</v>
      </c>
      <c r="B49" s="25" t="n">
        <v>1541.68</v>
      </c>
      <c r="C49" s="25" t="n">
        <v>1304.9</v>
      </c>
      <c r="D49" s="25" t="n">
        <v>2707.37</v>
      </c>
      <c r="E49" s="25" t="n">
        <v>5412.68</v>
      </c>
      <c r="F49" s="25" t="n">
        <v>934.59</v>
      </c>
      <c r="G49" s="25" t="n">
        <v>5210.36</v>
      </c>
      <c r="H49" s="25" t="n">
        <f aca="false">SUM(B49:G49)</f>
        <v>17111.58</v>
      </c>
    </row>
    <row r="50" customFormat="false" ht="15" hidden="false" customHeight="false" outlineLevel="0" collapsed="false">
      <c r="A50" s="26" t="s">
        <v>74</v>
      </c>
      <c r="B50" s="27" t="n">
        <v>0</v>
      </c>
      <c r="C50" s="27" t="n">
        <v>5000</v>
      </c>
      <c r="D50" s="27" t="n">
        <v>8099.8</v>
      </c>
      <c r="E50" s="27" t="n">
        <v>15780</v>
      </c>
      <c r="F50" s="27" t="n">
        <v>2400</v>
      </c>
      <c r="G50" s="27" t="n">
        <v>10770.22</v>
      </c>
      <c r="H50" s="27" t="n">
        <f aca="false">SUM(B50:G50)</f>
        <v>42050.02</v>
      </c>
    </row>
    <row r="51" customFormat="false" ht="15" hidden="false" customHeight="false" outlineLevel="0" collapsed="false">
      <c r="A51" s="24" t="s">
        <v>75</v>
      </c>
      <c r="B51" s="25" t="n">
        <v>209.82</v>
      </c>
      <c r="C51" s="25" t="n">
        <v>209.82</v>
      </c>
      <c r="D51" s="25" t="n">
        <v>209.82</v>
      </c>
      <c r="E51" s="25" t="n">
        <v>209.82</v>
      </c>
      <c r="F51" s="25" t="n">
        <v>209.82</v>
      </c>
      <c r="G51" s="25" t="n">
        <v>209.82</v>
      </c>
      <c r="H51" s="25" t="n">
        <f aca="false">SUM(B51:G51)</f>
        <v>1258.92</v>
      </c>
    </row>
    <row r="52" customFormat="false" ht="15" hidden="false" customHeight="false" outlineLevel="0" collapsed="false">
      <c r="A52" s="26" t="s">
        <v>76</v>
      </c>
      <c r="B52" s="27" t="n">
        <v>16903.01</v>
      </c>
      <c r="C52" s="27" t="n">
        <v>5146.48</v>
      </c>
      <c r="D52" s="27" t="n">
        <v>6506.17</v>
      </c>
      <c r="E52" s="27" t="n">
        <v>5064.74</v>
      </c>
      <c r="F52" s="27" t="n">
        <v>5755.69</v>
      </c>
      <c r="G52" s="27" t="n">
        <v>9580.59</v>
      </c>
      <c r="H52" s="27" t="n">
        <f aca="false">SUM(B52:G52)</f>
        <v>48956.68</v>
      </c>
    </row>
    <row r="53" customFormat="false" ht="15" hidden="false" customHeight="false" outlineLevel="0" collapsed="false">
      <c r="A53" s="17" t="s">
        <v>16</v>
      </c>
      <c r="B53" s="18" t="n">
        <v>-38059.17</v>
      </c>
      <c r="C53" s="18" t="n">
        <v>88826.21</v>
      </c>
      <c r="D53" s="18" t="n">
        <v>-711477.72</v>
      </c>
      <c r="E53" s="18" t="n">
        <v>-58915.59</v>
      </c>
      <c r="F53" s="18" t="n">
        <v>43919.31</v>
      </c>
      <c r="G53" s="18" t="n">
        <v>-407632.55</v>
      </c>
      <c r="H53" s="18" t="n">
        <f aca="false">SUM(B53:G53)</f>
        <v>-1083339.51</v>
      </c>
    </row>
    <row r="54" customFormat="false" ht="15" hidden="false" customHeight="false" outlineLevel="0" collapsed="false">
      <c r="A54" s="17" t="s">
        <v>17</v>
      </c>
      <c r="B54" s="18" t="n">
        <v>-2047.11</v>
      </c>
      <c r="C54" s="18" t="n">
        <v>19292.8</v>
      </c>
      <c r="D54" s="18" t="n">
        <v>15787.02</v>
      </c>
      <c r="E54" s="18" t="n">
        <v>25962.15</v>
      </c>
      <c r="F54" s="18" t="n">
        <v>-33546.78</v>
      </c>
      <c r="G54" s="18" t="n">
        <v>-98604.31</v>
      </c>
      <c r="H54" s="18" t="n">
        <f aca="false">SUM(B54:G54)</f>
        <v>-73156.23</v>
      </c>
    </row>
    <row r="55" customFormat="false" ht="15" hidden="false" customHeight="false" outlineLevel="0" collapsed="false">
      <c r="A55" s="24" t="s">
        <v>77</v>
      </c>
      <c r="B55" s="25" t="n">
        <v>0</v>
      </c>
      <c r="C55" s="25" t="n">
        <v>36646</v>
      </c>
      <c r="D55" s="25" t="n">
        <v>31237.25</v>
      </c>
      <c r="E55" s="25" t="n">
        <v>30832.01</v>
      </c>
      <c r="F55" s="25" t="n">
        <v>22834.19</v>
      </c>
      <c r="G55" s="25" t="n">
        <v>3067.98</v>
      </c>
      <c r="H55" s="25" t="n">
        <f aca="false">SUM(B55:G55)</f>
        <v>124617.43</v>
      </c>
    </row>
    <row r="56" customFormat="false" ht="15" hidden="false" customHeight="false" outlineLevel="0" collapsed="false">
      <c r="A56" s="26" t="s">
        <v>78</v>
      </c>
      <c r="B56" s="27" t="n">
        <v>1451.89</v>
      </c>
      <c r="C56" s="27" t="n">
        <v>3032.2</v>
      </c>
      <c r="D56" s="27" t="n">
        <v>1104.61</v>
      </c>
      <c r="E56" s="27" t="n">
        <v>1682.1</v>
      </c>
      <c r="F56" s="27" t="n">
        <v>324.8</v>
      </c>
      <c r="G56" s="27" t="n">
        <v>533.5</v>
      </c>
      <c r="H56" s="27" t="n">
        <f aca="false">SUM(B56:G56)</f>
        <v>8129.1</v>
      </c>
    </row>
    <row r="57" customFormat="false" ht="15" hidden="false" customHeight="false" outlineLevel="0" collapsed="false">
      <c r="A57" s="24" t="s">
        <v>79</v>
      </c>
      <c r="B57" s="25" t="n">
        <v>4.94</v>
      </c>
      <c r="C57" s="25" t="n">
        <v>49.15</v>
      </c>
      <c r="D57" s="25" t="n">
        <v>26.64</v>
      </c>
      <c r="E57" s="25" t="n">
        <v>171.09</v>
      </c>
      <c r="F57" s="25" t="n">
        <v>521.56</v>
      </c>
      <c r="G57" s="25" t="n">
        <v>2.36</v>
      </c>
      <c r="H57" s="25" t="n">
        <f aca="false">SUM(B57:G57)</f>
        <v>775.74</v>
      </c>
    </row>
    <row r="58" customFormat="false" ht="15" hidden="false" customHeight="false" outlineLevel="0" collapsed="false">
      <c r="A58" s="26" t="s">
        <v>80</v>
      </c>
      <c r="B58" s="27" t="n">
        <v>0</v>
      </c>
      <c r="C58" s="27" t="n">
        <v>0</v>
      </c>
      <c r="D58" s="27" t="n">
        <v>0</v>
      </c>
      <c r="E58" s="27" t="n">
        <v>0</v>
      </c>
      <c r="F58" s="27" t="n">
        <v>0</v>
      </c>
      <c r="G58" s="27" t="n">
        <v>0</v>
      </c>
      <c r="H58" s="27" t="n">
        <f aca="false">SUM(B58:G58)</f>
        <v>0</v>
      </c>
    </row>
    <row r="59" customFormat="false" ht="15" hidden="false" customHeight="false" outlineLevel="0" collapsed="false">
      <c r="A59" s="24" t="s">
        <v>81</v>
      </c>
      <c r="B59" s="25" t="n">
        <v>3503.94</v>
      </c>
      <c r="C59" s="25" t="n">
        <v>20434.55</v>
      </c>
      <c r="D59" s="25" t="n">
        <v>16581.48</v>
      </c>
      <c r="E59" s="25" t="n">
        <v>6723.05</v>
      </c>
      <c r="F59" s="25" t="n">
        <v>57227.33</v>
      </c>
      <c r="G59" s="25" t="n">
        <v>102208.15</v>
      </c>
      <c r="H59" s="25" t="n">
        <f aca="false">SUM(B59:G59)</f>
        <v>206678.5</v>
      </c>
    </row>
    <row r="60" customFormat="false" ht="15" hidden="false" customHeight="false" outlineLevel="0" collapsed="false">
      <c r="A60" s="17" t="s">
        <v>82</v>
      </c>
      <c r="B60" s="18" t="n">
        <v>-40106.28</v>
      </c>
      <c r="C60" s="18" t="n">
        <v>108119.01</v>
      </c>
      <c r="D60" s="18" t="n">
        <v>-695690.7</v>
      </c>
      <c r="E60" s="18" t="n">
        <v>-32953.44</v>
      </c>
      <c r="F60" s="18" t="n">
        <v>10372.53</v>
      </c>
      <c r="G60" s="18" t="n">
        <v>-506236.86</v>
      </c>
      <c r="H60" s="18" t="n">
        <f aca="false">SUM(B60:G60)</f>
        <v>-1156495.74</v>
      </c>
    </row>
    <row r="61" customFormat="false" ht="15" hidden="false" customHeight="false" outlineLevel="0" collapsed="false">
      <c r="A61" s="24" t="s">
        <v>83</v>
      </c>
      <c r="B61" s="25" t="n">
        <v>0</v>
      </c>
      <c r="C61" s="25" t="n">
        <v>0</v>
      </c>
      <c r="D61" s="25" t="n">
        <v>0</v>
      </c>
      <c r="E61" s="25" t="n">
        <v>0</v>
      </c>
      <c r="F61" s="25" t="n">
        <v>0</v>
      </c>
      <c r="G61" s="25" t="n">
        <v>0</v>
      </c>
      <c r="H61" s="25" t="n">
        <f aca="false">SUM(B61:G61)</f>
        <v>0</v>
      </c>
    </row>
    <row r="62" customFormat="false" ht="15" hidden="false" customHeight="false" outlineLevel="0" collapsed="false">
      <c r="A62" s="11" t="s">
        <v>18</v>
      </c>
      <c r="B62" s="28" t="n">
        <v>-40106.28</v>
      </c>
      <c r="C62" s="28" t="n">
        <v>108119.01</v>
      </c>
      <c r="D62" s="28" t="n">
        <v>-695690.7</v>
      </c>
      <c r="E62" s="28" t="n">
        <v>-32953.44</v>
      </c>
      <c r="F62" s="28" t="n">
        <v>10372.53</v>
      </c>
      <c r="G62" s="28" t="n">
        <v>-506236.86</v>
      </c>
      <c r="H62" s="28" t="n">
        <f aca="false">SUM(B62:G62)</f>
        <v>-1156495.74</v>
      </c>
    </row>
    <row r="64" customFormat="false" ht="15" hidden="false" customHeight="false" outlineLevel="0" collapsed="false">
      <c r="A64" s="3" t="s">
        <v>84</v>
      </c>
      <c r="B64" s="3"/>
      <c r="C64" s="3"/>
      <c r="D64" s="3"/>
      <c r="E64" s="3"/>
      <c r="F64" s="3"/>
      <c r="G64" s="3"/>
      <c r="H64" s="3"/>
    </row>
    <row r="65" customFormat="false" ht="15" hidden="false" customHeight="false" outlineLevel="0" collapsed="false">
      <c r="A65" s="22" t="s">
        <v>3</v>
      </c>
      <c r="B65" s="23" t="s">
        <v>4</v>
      </c>
      <c r="C65" s="23" t="s">
        <v>5</v>
      </c>
      <c r="D65" s="23" t="s">
        <v>6</v>
      </c>
      <c r="E65" s="23" t="s">
        <v>7</v>
      </c>
      <c r="F65" s="23" t="s">
        <v>8</v>
      </c>
      <c r="G65" s="23" t="s">
        <v>9</v>
      </c>
      <c r="H65" s="23" t="s">
        <v>10</v>
      </c>
    </row>
    <row r="66" customFormat="false" ht="15" hidden="false" customHeight="false" outlineLevel="0" collapsed="false">
      <c r="A66" s="17" t="s">
        <v>12</v>
      </c>
      <c r="B66" s="19" t="n">
        <f aca="false">IF(B$4=0,0,B4/B$4)</f>
        <v>1</v>
      </c>
      <c r="C66" s="19" t="n">
        <f aca="false">IF(C$4=0,0,C4/C$4)</f>
        <v>1</v>
      </c>
      <c r="D66" s="19" t="n">
        <f aca="false">IF(D$4=0,0,D4/D$4)</f>
        <v>1</v>
      </c>
      <c r="E66" s="19" t="n">
        <f aca="false">IF(E$4=0,0,E4/E$4)</f>
        <v>1</v>
      </c>
      <c r="F66" s="19" t="n">
        <f aca="false">IF(F$4=0,0,F4/F$4)</f>
        <v>1</v>
      </c>
      <c r="G66" s="19" t="n">
        <f aca="false">IF(G$4=0,0,G4/G$4)</f>
        <v>1</v>
      </c>
      <c r="H66" s="19" t="n">
        <f aca="false">IF(H$4=0,0,H4/H$4)</f>
        <v>1</v>
      </c>
    </row>
    <row r="67" customFormat="false" ht="15" hidden="false" customHeight="false" outlineLevel="0" collapsed="false">
      <c r="A67" s="24" t="s">
        <v>28</v>
      </c>
      <c r="B67" s="29" t="n">
        <f aca="false">IF(B$4=0,0,B5/B$4)</f>
        <v>0.769011879921973</v>
      </c>
      <c r="C67" s="29" t="n">
        <f aca="false">IF(C$4=0,0,C5/C$4)</f>
        <v>0.771646467527618</v>
      </c>
      <c r="D67" s="29" t="n">
        <f aca="false">IF(D$4=0,0,D5/D$4)</f>
        <v>0.807686543294071</v>
      </c>
      <c r="E67" s="29" t="n">
        <f aca="false">IF(E$4=0,0,E5/E$4)</f>
        <v>0.762595551248624</v>
      </c>
      <c r="F67" s="29" t="n">
        <f aca="false">IF(F$4=0,0,F5/F$4)</f>
        <v>0.816749782788173</v>
      </c>
      <c r="G67" s="29" t="n">
        <f aca="false">IF(G$4=0,0,G5/G$4)</f>
        <v>0.828576875583595</v>
      </c>
      <c r="H67" s="29" t="n">
        <f aca="false">IF(H$4=0,0,H5/H$4)</f>
        <v>0.800843595881373</v>
      </c>
    </row>
    <row r="68" customFormat="false" ht="15" hidden="false" customHeight="false" outlineLevel="0" collapsed="false">
      <c r="A68" s="26" t="s">
        <v>29</v>
      </c>
      <c r="B68" s="30" t="n">
        <f aca="false">IF(B$4=0,0,B6/B$4)</f>
        <v>0.17065516164446</v>
      </c>
      <c r="C68" s="30" t="n">
        <f aca="false">IF(C$4=0,0,C6/C$4)</f>
        <v>0.126360044834393</v>
      </c>
      <c r="D68" s="30" t="n">
        <f aca="false">IF(D$4=0,0,D6/D$4)</f>
        <v>0.082780788943253</v>
      </c>
      <c r="E68" s="30" t="n">
        <f aca="false">IF(E$4=0,0,E6/E$4)</f>
        <v>0.184540380124152</v>
      </c>
      <c r="F68" s="30" t="n">
        <f aca="false">IF(F$4=0,0,F6/F$4)</f>
        <v>0.0981196634102026</v>
      </c>
      <c r="G68" s="30" t="n">
        <f aca="false">IF(G$4=0,0,G6/G$4)</f>
        <v>0.187460620894861</v>
      </c>
      <c r="H68" s="30" t="n">
        <f aca="false">IF(H$4=0,0,H6/H$4)</f>
        <v>0.139616038154495</v>
      </c>
    </row>
    <row r="69" customFormat="false" ht="15" hidden="false" customHeight="false" outlineLevel="0" collapsed="false">
      <c r="A69" s="24" t="s">
        <v>30</v>
      </c>
      <c r="B69" s="29" t="n">
        <f aca="false">IF(B$4=0,0,B7/B$4)</f>
        <v>0.0428729042597638</v>
      </c>
      <c r="C69" s="29" t="n">
        <f aca="false">IF(C$4=0,0,C7/C$4)</f>
        <v>0.100519022138456</v>
      </c>
      <c r="D69" s="29" t="n">
        <f aca="false">IF(D$4=0,0,D7/D$4)</f>
        <v>0.104581104244136</v>
      </c>
      <c r="E69" s="29" t="n">
        <f aca="false">IF(E$4=0,0,E7/E$4)</f>
        <v>0.0433907590029017</v>
      </c>
      <c r="F69" s="29" t="n">
        <f aca="false">IF(F$4=0,0,F7/F$4)</f>
        <v>0.0595757325541175</v>
      </c>
      <c r="G69" s="29" t="n">
        <f aca="false">IF(G$4=0,0,G7/G$4)</f>
        <v>0.0277587290749882</v>
      </c>
      <c r="H69" s="29" t="n">
        <f aca="false">IF(H$4=0,0,H7/H$4)</f>
        <v>0.0597121468135669</v>
      </c>
    </row>
    <row r="70" customFormat="false" ht="15" hidden="false" customHeight="false" outlineLevel="0" collapsed="false">
      <c r="A70" s="26" t="s">
        <v>32</v>
      </c>
      <c r="B70" s="30" t="n">
        <f aca="false">IF(B$4=0,0,B8/B$4)</f>
        <v>0.0183785400635608</v>
      </c>
      <c r="C70" s="30" t="n">
        <f aca="false">IF(C$4=0,0,C8/C$4)</f>
        <v>0.01488734854741</v>
      </c>
      <c r="D70" s="30" t="n">
        <f aca="false">IF(D$4=0,0,D8/D$4)</f>
        <v>0.0110181443693886</v>
      </c>
      <c r="E70" s="30" t="n">
        <f aca="false">IF(E$4=0,0,E8/E$4)</f>
        <v>0.0080206628567573</v>
      </c>
      <c r="F70" s="30" t="n">
        <f aca="false">IF(F$4=0,0,F8/F$4)</f>
        <v>0.0169014664084071</v>
      </c>
      <c r="G70" s="30" t="n">
        <f aca="false">IF(G$4=0,0,G8/G$4)</f>
        <v>1.44729088679613E-005</v>
      </c>
      <c r="H70" s="30" t="n">
        <f aca="false">IF(H$4=0,0,H8/H$4)</f>
        <v>0.0105351415425585</v>
      </c>
    </row>
    <row r="71" customFormat="false" ht="15" hidden="false" customHeight="false" outlineLevel="0" collapsed="false">
      <c r="A71" s="24" t="s">
        <v>31</v>
      </c>
      <c r="B71" s="29" t="n">
        <f aca="false">IF(B$4=0,0,B9/B$4)</f>
        <v>0.0317392584453198</v>
      </c>
      <c r="C71" s="29" t="n">
        <f aca="false">IF(C$4=0,0,C9/C$4)</f>
        <v>0.043676463449059</v>
      </c>
      <c r="D71" s="29" t="n">
        <f aca="false">IF(D$4=0,0,D9/D$4)</f>
        <v>0.0274465425084025</v>
      </c>
      <c r="E71" s="29" t="n">
        <f aca="false">IF(E$4=0,0,E9/E$4)</f>
        <v>0</v>
      </c>
      <c r="F71" s="29" t="n">
        <f aca="false">IF(F$4=0,0,F9/F$4)</f>
        <v>0.00544435799898092</v>
      </c>
      <c r="G71" s="29" t="n">
        <f aca="false">IF(G$4=0,0,G9/G$4)</f>
        <v>0.00735761335678956</v>
      </c>
      <c r="H71" s="29" t="n">
        <f aca="false">IF(H$4=0,0,H9/H$4)</f>
        <v>0.0154973748473344</v>
      </c>
    </row>
    <row r="72" customFormat="false" ht="15" hidden="false" customHeight="false" outlineLevel="0" collapsed="false">
      <c r="A72" s="26" t="s">
        <v>34</v>
      </c>
      <c r="B72" s="30" t="n">
        <f aca="false">IF(B$4=0,0,B10/B$4)</f>
        <v>0.00670539830643419</v>
      </c>
      <c r="C72" s="30" t="n">
        <f aca="false">IF(C$4=0,0,C10/C$4)</f>
        <v>4.44067070765398E-005</v>
      </c>
      <c r="D72" s="30" t="n">
        <f aca="false">IF(D$4=0,0,D10/D$4)</f>
        <v>0</v>
      </c>
      <c r="E72" s="30" t="n">
        <f aca="false">IF(E$4=0,0,E10/E$4)</f>
        <v>0.0010481198917553</v>
      </c>
      <c r="F72" s="30" t="n">
        <f aca="false">IF(F$4=0,0,F10/F$4)</f>
        <v>0.00220216150174553</v>
      </c>
      <c r="G72" s="30" t="n">
        <f aca="false">IF(G$4=0,0,G10/G$4)</f>
        <v>0.0015092142611669</v>
      </c>
      <c r="H72" s="30" t="n">
        <f aca="false">IF(H$4=0,0,H10/H$4)</f>
        <v>0.00175025754972677</v>
      </c>
    </row>
    <row r="73" customFormat="false" ht="15" hidden="false" customHeight="false" outlineLevel="0" collapsed="false">
      <c r="A73" s="24" t="s">
        <v>35</v>
      </c>
      <c r="B73" s="29" t="n">
        <f aca="false">IF(B$4=0,0,B11/B$4)</f>
        <v>0.00225394728387743</v>
      </c>
      <c r="C73" s="29" t="n">
        <f aca="false">IF(C$4=0,0,C11/C$4)</f>
        <v>0</v>
      </c>
      <c r="D73" s="29" t="n">
        <f aca="false">IF(D$4=0,0,D11/D$4)</f>
        <v>0.00148888348229775</v>
      </c>
      <c r="E73" s="29" t="n">
        <f aca="false">IF(E$4=0,0,E11/E$4)</f>
        <v>0.000176968986748634</v>
      </c>
      <c r="F73" s="29" t="n">
        <f aca="false">IF(F$4=0,0,F11/F$4)</f>
        <v>1.47740987817441E-005</v>
      </c>
      <c r="G73" s="29" t="n">
        <f aca="false">IF(G$4=0,0,G11/G$4)</f>
        <v>0</v>
      </c>
      <c r="H73" s="29" t="n">
        <f aca="false">IF(H$4=0,0,H11/H$4)</f>
        <v>0.000519189852132123</v>
      </c>
    </row>
    <row r="74" customFormat="false" ht="15" hidden="false" customHeight="false" outlineLevel="0" collapsed="false">
      <c r="A74" s="26" t="s">
        <v>33</v>
      </c>
      <c r="B74" s="30" t="n">
        <f aca="false">IF(B$4=0,0,B12/B$4)</f>
        <v>0</v>
      </c>
      <c r="C74" s="30" t="n">
        <f aca="false">IF(C$4=0,0,C12/C$4)</f>
        <v>0</v>
      </c>
      <c r="D74" s="30" t="n">
        <f aca="false">IF(D$4=0,0,D12/D$4)</f>
        <v>0</v>
      </c>
      <c r="E74" s="30" t="n">
        <f aca="false">IF(E$4=0,0,E12/E$4)</f>
        <v>0.016202142768933</v>
      </c>
      <c r="F74" s="30" t="n">
        <f aca="false">IF(F$4=0,0,F12/F$4)</f>
        <v>0.0120308359121172</v>
      </c>
      <c r="G74" s="30" t="n">
        <f aca="false">IF(G$4=0,0,G12/G$4)</f>
        <v>0.00107016823286525</v>
      </c>
      <c r="H74" s="30" t="n">
        <f aca="false">IF(H$4=0,0,H12/H$4)</f>
        <v>0.0054603208419271</v>
      </c>
    </row>
    <row r="75" customFormat="false" ht="15" hidden="false" customHeight="false" outlineLevel="0" collapsed="false">
      <c r="A75" s="24" t="s">
        <v>40</v>
      </c>
      <c r="B75" s="29" t="n">
        <f aca="false">IF(B$4=0,0,B13/B$4)</f>
        <v>-0.041617089925389</v>
      </c>
      <c r="C75" s="29" t="n">
        <f aca="false">IF(C$4=0,0,C13/C$4)</f>
        <v>-0.0571337532040118</v>
      </c>
      <c r="D75" s="29" t="n">
        <f aca="false">IF(D$4=0,0,D13/D$4)</f>
        <v>-0.0350020068415481</v>
      </c>
      <c r="E75" s="29" t="n">
        <f aca="false">IF(E$4=0,0,E13/E$4)</f>
        <v>-0.0159745848798713</v>
      </c>
      <c r="F75" s="29" t="n">
        <f aca="false">IF(F$4=0,0,F13/F$4)</f>
        <v>-0.0110387746725257</v>
      </c>
      <c r="G75" s="29" t="n">
        <f aca="false">IF(G$4=0,0,G13/G$4)</f>
        <v>-0.0537476943131349</v>
      </c>
      <c r="H75" s="29" t="n">
        <f aca="false">IF(H$4=0,0,H13/H$4)</f>
        <v>-0.0339340654831145</v>
      </c>
    </row>
    <row r="76" customFormat="false" ht="15" hidden="false" customHeight="false" outlineLevel="0" collapsed="false">
      <c r="A76" s="17" t="s">
        <v>13</v>
      </c>
      <c r="B76" s="19" t="n">
        <f aca="false">IF(B$4=0,0,B14/B$4)</f>
        <v>0.940519671119779</v>
      </c>
      <c r="C76" s="19" t="n">
        <f aca="false">IF(C$4=0,0,C14/C$4)</f>
        <v>0.901349646633875</v>
      </c>
      <c r="D76" s="19" t="n">
        <f aca="false">IF(D$4=0,0,D14/D$4)</f>
        <v>1.0452636319862</v>
      </c>
      <c r="E76" s="19" t="n">
        <f aca="false">IF(E$4=0,0,E14/E$4)</f>
        <v>0.937616474627255</v>
      </c>
      <c r="F76" s="19" t="n">
        <f aca="false">IF(F$4=0,0,F14/F$4)</f>
        <v>0.956372332532489</v>
      </c>
      <c r="G76" s="19" t="n">
        <f aca="false">IF(G$4=0,0,G14/G$4)</f>
        <v>0.995853726635404</v>
      </c>
      <c r="H76" s="19" t="n">
        <f aca="false">IF(H$4=0,0,H14/H$4)</f>
        <v>0.971204939687419</v>
      </c>
    </row>
    <row r="77" customFormat="false" ht="15" hidden="false" customHeight="false" outlineLevel="0" collapsed="false">
      <c r="A77" s="24" t="s">
        <v>41</v>
      </c>
      <c r="B77" s="29" t="n">
        <f aca="false">IF(B$4=0,0,B15/B$4)</f>
        <v>0.687843289552961</v>
      </c>
      <c r="C77" s="29" t="n">
        <f aca="false">IF(C$4=0,0,C15/C$4)</f>
        <v>0.706021633852322</v>
      </c>
      <c r="D77" s="29" t="n">
        <f aca="false">IF(D$4=0,0,D15/D$4)</f>
        <v>0.831878726021492</v>
      </c>
      <c r="E77" s="29" t="n">
        <f aca="false">IF(E$4=0,0,E15/E$4)</f>
        <v>0.732150015690109</v>
      </c>
      <c r="F77" s="29" t="n">
        <f aca="false">IF(F$4=0,0,F15/F$4)</f>
        <v>0.764885883563146</v>
      </c>
      <c r="G77" s="29" t="n">
        <f aca="false">IF(G$4=0,0,G15/G$4)</f>
        <v>0.785135420310114</v>
      </c>
      <c r="H77" s="29" t="n">
        <f aca="false">IF(H$4=0,0,H15/H$4)</f>
        <v>0.762583923821509</v>
      </c>
    </row>
    <row r="78" customFormat="false" ht="15" hidden="false" customHeight="false" outlineLevel="0" collapsed="false">
      <c r="A78" s="26" t="s">
        <v>42</v>
      </c>
      <c r="B78" s="30" t="n">
        <f aca="false">IF(B$4=0,0,B16/B$4)</f>
        <v>0.155882982295076</v>
      </c>
      <c r="C78" s="30" t="n">
        <f aca="false">IF(C$4=0,0,C16/C$4)</f>
        <v>0.129994820154983</v>
      </c>
      <c r="D78" s="30" t="n">
        <f aca="false">IF(D$4=0,0,D16/D$4)</f>
        <v>0.0808010385979516</v>
      </c>
      <c r="E78" s="30" t="n">
        <f aca="false">IF(E$4=0,0,E16/E$4)</f>
        <v>0.175569546549644</v>
      </c>
      <c r="F78" s="30" t="n">
        <f aca="false">IF(F$4=0,0,F16/F$4)</f>
        <v>0.0934618178975959</v>
      </c>
      <c r="G78" s="30" t="n">
        <f aca="false">IF(G$4=0,0,G16/G$4)</f>
        <v>0.182849204779716</v>
      </c>
      <c r="H78" s="30" t="n">
        <f aca="false">IF(H$4=0,0,H16/H$4)</f>
        <v>0.134592944496011</v>
      </c>
    </row>
    <row r="79" customFormat="false" ht="15" hidden="false" customHeight="false" outlineLevel="0" collapsed="false">
      <c r="A79" s="24" t="s">
        <v>43</v>
      </c>
      <c r="B79" s="29" t="n">
        <f aca="false">IF(B$4=0,0,B17/B$4)</f>
        <v>0.0420265878458013</v>
      </c>
      <c r="C79" s="29" t="n">
        <f aca="false">IF(C$4=0,0,C17/C$4)</f>
        <v>0.0939533646781858</v>
      </c>
      <c r="D79" s="29" t="n">
        <f aca="false">IF(D$4=0,0,D17/D$4)</f>
        <v>0.101010423884837</v>
      </c>
      <c r="E79" s="29" t="n">
        <f aca="false">IF(E$4=0,0,E17/E$4)</f>
        <v>0.0423832787748891</v>
      </c>
      <c r="F79" s="29" t="n">
        <f aca="false">IF(F$4=0,0,F17/F$4)</f>
        <v>0.066758255066938</v>
      </c>
      <c r="G79" s="29" t="n">
        <f aca="false">IF(G$4=0,0,G17/G$4)</f>
        <v>0.0200917283453283</v>
      </c>
      <c r="H79" s="29" t="n">
        <f aca="false">IF(H$4=0,0,H17/H$4)</f>
        <v>0.0581063831593129</v>
      </c>
    </row>
    <row r="80" customFormat="false" ht="15" hidden="false" customHeight="false" outlineLevel="0" collapsed="false">
      <c r="A80" s="26" t="s">
        <v>44</v>
      </c>
      <c r="B80" s="30" t="n">
        <f aca="false">IF(B$4=0,0,B18/B$4)</f>
        <v>0.0148250631567104</v>
      </c>
      <c r="C80" s="30" t="n">
        <f aca="false">IF(C$4=0,0,C18/C$4)</f>
        <v>0.0121603770725467</v>
      </c>
      <c r="D80" s="30" t="n">
        <f aca="false">IF(D$4=0,0,D18/D$4)</f>
        <v>0.00913754498018578</v>
      </c>
      <c r="E80" s="30" t="n">
        <f aca="false">IF(E$4=0,0,E18/E$4)</f>
        <v>0.00614258826311097</v>
      </c>
      <c r="F80" s="30" t="n">
        <f aca="false">IF(F$4=0,0,F18/F$4)</f>
        <v>0.0157169304670409</v>
      </c>
      <c r="G80" s="30" t="n">
        <f aca="false">IF(G$4=0,0,G18/G$4)</f>
        <v>7.7130266474185E-006</v>
      </c>
      <c r="H80" s="30" t="n">
        <f aca="false">IF(H$4=0,0,H18/H$4)</f>
        <v>0.00901310802237544</v>
      </c>
    </row>
    <row r="81" customFormat="false" ht="15" hidden="false" customHeight="false" outlineLevel="0" collapsed="false">
      <c r="A81" s="24" t="s">
        <v>45</v>
      </c>
      <c r="B81" s="29" t="n">
        <f aca="false">IF(B$4=0,0,B19/B$4)</f>
        <v>0.0396179069860226</v>
      </c>
      <c r="C81" s="29" t="n">
        <f aca="false">IF(C$4=0,0,C19/C$4)</f>
        <v>0.0341764601259571</v>
      </c>
      <c r="D81" s="29" t="n">
        <f aca="false">IF(D$4=0,0,D19/D$4)</f>
        <v>0.0240008452989667</v>
      </c>
      <c r="E81" s="29" t="n">
        <f aca="false">IF(E$4=0,0,E19/E$4)</f>
        <v>0</v>
      </c>
      <c r="F81" s="29" t="n">
        <f aca="false">IF(F$4=0,0,F19/F$4)</f>
        <v>0.00501495394778494</v>
      </c>
      <c r="G81" s="29" t="n">
        <f aca="false">IF(G$4=0,0,G19/G$4)</f>
        <v>0.00646108074673006</v>
      </c>
      <c r="H81" s="29" t="n">
        <f aca="false">IF(H$4=0,0,H19/H$4)</f>
        <v>0.0144576391261481</v>
      </c>
    </row>
    <row r="82" customFormat="false" ht="15" hidden="false" customHeight="false" outlineLevel="0" collapsed="false">
      <c r="A82" s="26" t="s">
        <v>46</v>
      </c>
      <c r="B82" s="30" t="n">
        <f aca="false">IF(B$4=0,0,B20/B$4)</f>
        <v>0.00705835781854719</v>
      </c>
      <c r="C82" s="30" t="n">
        <f aca="false">IF(C$4=0,0,C20/C$4)</f>
        <v>0.00011222068286098</v>
      </c>
      <c r="D82" s="30" t="n">
        <f aca="false">IF(D$4=0,0,D20/D$4)</f>
        <v>0</v>
      </c>
      <c r="E82" s="30" t="n">
        <f aca="false">IF(E$4=0,0,E20/E$4)</f>
        <v>0.000863434846507064</v>
      </c>
      <c r="F82" s="30" t="n">
        <f aca="false">IF(F$4=0,0,F20/F$4)</f>
        <v>0.00256024256509356</v>
      </c>
      <c r="G82" s="30" t="n">
        <f aca="false">IF(G$4=0,0,G20/G$4)</f>
        <v>0.001212839067148</v>
      </c>
      <c r="H82" s="30" t="n">
        <f aca="false">IF(H$4=0,0,H20/H$4)</f>
        <v>0.00178339318022931</v>
      </c>
    </row>
    <row r="83" customFormat="false" ht="15" hidden="false" customHeight="false" outlineLevel="0" collapsed="false">
      <c r="A83" s="24" t="s">
        <v>47</v>
      </c>
      <c r="B83" s="29" t="n">
        <f aca="false">IF(B$4=0,0,B21/B$4)</f>
        <v>0.00180315782710195</v>
      </c>
      <c r="C83" s="29" t="n">
        <f aca="false">IF(C$4=0,0,C21/C$4)</f>
        <v>0</v>
      </c>
      <c r="D83" s="29" t="n">
        <f aca="false">IF(D$4=0,0,D21/D$4)</f>
        <v>0.00117960580351127</v>
      </c>
      <c r="E83" s="29" t="n">
        <f aca="false">IF(E$4=0,0,E21/E$4)</f>
        <v>0.000122321033866444</v>
      </c>
      <c r="F83" s="29" t="n">
        <f aca="false">IF(F$4=0,0,F21/F$4)</f>
        <v>1.19136691009453E-005</v>
      </c>
      <c r="G83" s="29" t="n">
        <f aca="false">IF(G$4=0,0,G21/G$4)</f>
        <v>0</v>
      </c>
      <c r="H83" s="29" t="n">
        <f aca="false">IF(H$4=0,0,H21/H$4)</f>
        <v>0.000410684908980641</v>
      </c>
    </row>
    <row r="84" customFormat="false" ht="15" hidden="false" customHeight="false" outlineLevel="0" collapsed="false">
      <c r="A84" s="26" t="s">
        <v>48</v>
      </c>
      <c r="B84" s="30" t="n">
        <f aca="false">IF(B$4=0,0,B22/B$4)</f>
        <v>0</v>
      </c>
      <c r="C84" s="30" t="n">
        <f aca="false">IF(C$4=0,0,C22/C$4)</f>
        <v>0</v>
      </c>
      <c r="D84" s="30" t="n">
        <f aca="false">IF(D$4=0,0,D22/D$4)</f>
        <v>0</v>
      </c>
      <c r="E84" s="30" t="n">
        <f aca="false">IF(E$4=0,0,E22/E$4)</f>
        <v>0.0129437206125156</v>
      </c>
      <c r="F84" s="30" t="n">
        <f aca="false">IF(F$4=0,0,F22/F$4)</f>
        <v>0.00919936449090973</v>
      </c>
      <c r="G84" s="30" t="n">
        <f aca="false">IF(G$4=0,0,G22/G$4)</f>
        <v>0.000819385803118036</v>
      </c>
      <c r="H84" s="30" t="n">
        <f aca="false">IF(H$4=0,0,H22/H$4)</f>
        <v>0.00425395197077652</v>
      </c>
    </row>
    <row r="85" customFormat="false" ht="15" hidden="false" customHeight="false" outlineLevel="0" collapsed="false">
      <c r="A85" s="24" t="s">
        <v>49</v>
      </c>
      <c r="B85" s="29" t="n">
        <f aca="false">IF(B$4=0,0,B23/B$4)</f>
        <v>0</v>
      </c>
      <c r="C85" s="29" t="n">
        <f aca="false">IF(C$4=0,0,C23/C$4)</f>
        <v>0</v>
      </c>
      <c r="D85" s="29" t="n">
        <f aca="false">IF(D$4=0,0,D23/D$4)</f>
        <v>0</v>
      </c>
      <c r="E85" s="29" t="n">
        <f aca="false">IF(E$4=0,0,E23/E$4)</f>
        <v>0</v>
      </c>
      <c r="F85" s="29" t="n">
        <f aca="false">IF(F$4=0,0,F23/F$4)</f>
        <v>0.00187784335803011</v>
      </c>
      <c r="G85" s="29" t="n">
        <f aca="false">IF(G$4=0,0,G23/G$4)</f>
        <v>0</v>
      </c>
      <c r="H85" s="29" t="n">
        <f aca="false">IF(H$4=0,0,H23/H$4)</f>
        <v>0.000454478966578178</v>
      </c>
    </row>
    <row r="86" customFormat="false" ht="15" hidden="false" customHeight="false" outlineLevel="0" collapsed="false">
      <c r="A86" s="26" t="s">
        <v>50</v>
      </c>
      <c r="B86" s="30" t="n">
        <f aca="false">IF(B$4=0,0,B24/B$4)</f>
        <v>-0.00853767910559634</v>
      </c>
      <c r="C86" s="30" t="n">
        <f aca="false">IF(C$4=0,0,C24/C$4)</f>
        <v>-0.0750692299329804</v>
      </c>
      <c r="D86" s="30" t="n">
        <f aca="false">IF(D$4=0,0,D24/D$4)</f>
        <v>-0.00274455260074393</v>
      </c>
      <c r="E86" s="30" t="n">
        <f aca="false">IF(E$4=0,0,E24/E$4)</f>
        <v>-0.0325584311433871</v>
      </c>
      <c r="F86" s="30" t="n">
        <f aca="false">IF(F$4=0,0,F24/F$4)</f>
        <v>-0.00311487249315105</v>
      </c>
      <c r="G86" s="30" t="n">
        <f aca="false">IF(G$4=0,0,G24/G$4)</f>
        <v>-0.000723645443398063</v>
      </c>
      <c r="H86" s="30" t="n">
        <f aca="false">IF(H$4=0,0,H24/H$4)</f>
        <v>-0.0144515684611211</v>
      </c>
    </row>
    <row r="87" customFormat="false" ht="15" hidden="false" customHeight="false" outlineLevel="0" collapsed="false">
      <c r="A87" s="17" t="s">
        <v>14</v>
      </c>
      <c r="B87" s="19" t="n">
        <f aca="false">IF(B$4=0,0,B25/B$4)</f>
        <v>0.0594803288802214</v>
      </c>
      <c r="C87" s="19" t="n">
        <f aca="false">IF(C$4=0,0,C25/C$4)</f>
        <v>0.0986503533661249</v>
      </c>
      <c r="D87" s="19" t="n">
        <f aca="false">IF(D$4=0,0,D25/D$4)</f>
        <v>-0.0452636319862004</v>
      </c>
      <c r="E87" s="19" t="n">
        <f aca="false">IF(E$4=0,0,E25/E$4)</f>
        <v>0.062383525372745</v>
      </c>
      <c r="F87" s="19" t="n">
        <f aca="false">IF(F$4=0,0,F25/F$4)</f>
        <v>0.0436276674675107</v>
      </c>
      <c r="G87" s="19" t="n">
        <f aca="false">IF(G$4=0,0,G25/G$4)</f>
        <v>0.00414627336459629</v>
      </c>
      <c r="H87" s="19" t="n">
        <f aca="false">IF(H$4=0,0,H25/H$4)</f>
        <v>0.028795060312581</v>
      </c>
    </row>
    <row r="88" customFormat="false" ht="15" hidden="false" customHeight="false" outlineLevel="0" collapsed="false">
      <c r="A88" s="17" t="s">
        <v>15</v>
      </c>
      <c r="B88" s="19" t="n">
        <f aca="false">IF(B$4=0,0,B26/B$4)</f>
        <v>0.0685063561159253</v>
      </c>
      <c r="C88" s="19" t="n">
        <f aca="false">IF(C$4=0,0,C26/C$4)</f>
        <v>0.076736575964701</v>
      </c>
      <c r="D88" s="19" t="n">
        <f aca="false">IF(D$4=0,0,D26/D$4)</f>
        <v>0.0580531948284747</v>
      </c>
      <c r="E88" s="19" t="n">
        <f aca="false">IF(E$4=0,0,E26/E$4)</f>
        <v>0.072727009763616</v>
      </c>
      <c r="F88" s="19" t="n">
        <f aca="false">IF(F$4=0,0,F26/F$4)</f>
        <v>0.0391216371056563</v>
      </c>
      <c r="G88" s="19" t="n">
        <f aca="false">IF(G$4=0,0,G26/G$4)</f>
        <v>0.0462864787057724</v>
      </c>
      <c r="H88" s="19" t="n">
        <f aca="false">IF(H$4=0,0,H26/H$4)</f>
        <v>0.0556953840785186</v>
      </c>
    </row>
    <row r="89" customFormat="false" ht="15" hidden="false" customHeight="false" outlineLevel="0" collapsed="false">
      <c r="A89" s="24" t="s">
        <v>51</v>
      </c>
      <c r="B89" s="29" t="n">
        <f aca="false">IF(B$4=0,0,B27/B$4)</f>
        <v>0.00981355935744678</v>
      </c>
      <c r="C89" s="29" t="n">
        <f aca="false">IF(C$4=0,0,C27/C$4)</f>
        <v>0.025123257353145</v>
      </c>
      <c r="D89" s="29" t="n">
        <f aca="false">IF(D$4=0,0,D27/D$4)</f>
        <v>0.017940405566081</v>
      </c>
      <c r="E89" s="29" t="n">
        <f aca="false">IF(E$4=0,0,E27/E$4)</f>
        <v>0.0248951824366525</v>
      </c>
      <c r="F89" s="29" t="n">
        <f aca="false">IF(F$4=0,0,F27/F$4)</f>
        <v>0.0176044200804006</v>
      </c>
      <c r="G89" s="29" t="n">
        <f aca="false">IF(G$4=0,0,G27/G$4)</f>
        <v>0.0186597394583224</v>
      </c>
      <c r="H89" s="29" t="n">
        <f aca="false">IF(H$4=0,0,H27/H$4)</f>
        <v>0.0188875790503175</v>
      </c>
    </row>
    <row r="90" customFormat="false" ht="15" hidden="false" customHeight="false" outlineLevel="0" collapsed="false">
      <c r="A90" s="26" t="s">
        <v>52</v>
      </c>
      <c r="B90" s="30" t="n">
        <f aca="false">IF(B$4=0,0,B28/B$4)</f>
        <v>0.00910727748185879</v>
      </c>
      <c r="C90" s="30" t="n">
        <f aca="false">IF(C$4=0,0,C28/C$4)</f>
        <v>0</v>
      </c>
      <c r="D90" s="30" t="n">
        <f aca="false">IF(D$4=0,0,D28/D$4)</f>
        <v>0</v>
      </c>
      <c r="E90" s="30" t="n">
        <f aca="false">IF(E$4=0,0,E28/E$4)</f>
        <v>0</v>
      </c>
      <c r="F90" s="30" t="n">
        <f aca="false">IF(F$4=0,0,F28/F$4)</f>
        <v>0</v>
      </c>
      <c r="G90" s="30" t="n">
        <f aca="false">IF(G$4=0,0,G28/G$4)</f>
        <v>0</v>
      </c>
      <c r="H90" s="30" t="n">
        <f aca="false">IF(H$4=0,0,H28/H$4)</f>
        <v>0.000953551546602506</v>
      </c>
    </row>
    <row r="91" customFormat="false" ht="15" hidden="false" customHeight="false" outlineLevel="0" collapsed="false">
      <c r="A91" s="24" t="s">
        <v>53</v>
      </c>
      <c r="B91" s="29" t="n">
        <f aca="false">IF(B$4=0,0,B29/B$4)</f>
        <v>0.000571832402295079</v>
      </c>
      <c r="C91" s="29" t="n">
        <f aca="false">IF(C$4=0,0,C29/C$4)</f>
        <v>0.000583726164521116</v>
      </c>
      <c r="D91" s="29" t="n">
        <f aca="false">IF(D$4=0,0,D29/D$4)</f>
        <v>0.000321658660518722</v>
      </c>
      <c r="E91" s="29" t="n">
        <f aca="false">IF(E$4=0,0,E29/E$4)</f>
        <v>0.00047976327420449</v>
      </c>
      <c r="F91" s="29" t="n">
        <f aca="false">IF(F$4=0,0,F29/F$4)</f>
        <v>0.000484208775822679</v>
      </c>
      <c r="G91" s="29" t="n">
        <f aca="false">IF(G$4=0,0,G29/G$4)</f>
        <v>0.00052308297364347</v>
      </c>
      <c r="H91" s="29" t="n">
        <f aca="false">IF(H$4=0,0,H29/H$4)</f>
        <v>0.000484313077030051</v>
      </c>
    </row>
    <row r="92" customFormat="false" ht="15" hidden="false" customHeight="false" outlineLevel="0" collapsed="false">
      <c r="A92" s="26" t="s">
        <v>54</v>
      </c>
      <c r="B92" s="30" t="n">
        <f aca="false">IF(B$4=0,0,B30/B$4)</f>
        <v>0.000681496518828935</v>
      </c>
      <c r="C92" s="30" t="n">
        <f aca="false">IF(C$4=0,0,C30/C$4)</f>
        <v>0.0019272831586325</v>
      </c>
      <c r="D92" s="30" t="n">
        <f aca="false">IF(D$4=0,0,D30/D$4)</f>
        <v>0.00138662348539596</v>
      </c>
      <c r="E92" s="30" t="n">
        <f aca="false">IF(E$4=0,0,E30/E$4)</f>
        <v>0.0018690470685485</v>
      </c>
      <c r="F92" s="30" t="n">
        <f aca="false">IF(F$4=0,0,F30/F$4)</f>
        <v>0.00135349315062162</v>
      </c>
      <c r="G92" s="30" t="n">
        <f aca="false">IF(G$4=0,0,G30/G$4)</f>
        <v>0.00144303378403054</v>
      </c>
      <c r="H92" s="30" t="n">
        <f aca="false">IF(H$4=0,0,H30/H$4)</f>
        <v>0.00144097569047333</v>
      </c>
    </row>
    <row r="93" customFormat="false" ht="15" hidden="false" customHeight="false" outlineLevel="0" collapsed="false">
      <c r="A93" s="24" t="s">
        <v>55</v>
      </c>
      <c r="B93" s="29" t="n">
        <f aca="false">IF(B$4=0,0,B31/B$4)</f>
        <v>0.00311358484882217</v>
      </c>
      <c r="C93" s="29" t="n">
        <f aca="false">IF(C$4=0,0,C31/C$4)</f>
        <v>0.00796352879121435</v>
      </c>
      <c r="D93" s="29" t="n">
        <f aca="false">IF(D$4=0,0,D31/D$4)</f>
        <v>0.00402016692023307</v>
      </c>
      <c r="E93" s="29" t="n">
        <f aca="false">IF(E$4=0,0,E31/E$4)</f>
        <v>0.00691069511316488</v>
      </c>
      <c r="F93" s="29" t="n">
        <f aca="false">IF(F$4=0,0,F31/F$4)</f>
        <v>0.00421652574035161</v>
      </c>
      <c r="G93" s="29" t="n">
        <f aca="false">IF(G$4=0,0,G31/G$4)</f>
        <v>0.00656322640240331</v>
      </c>
      <c r="H93" s="29" t="n">
        <f aca="false">IF(H$4=0,0,H31/H$4)</f>
        <v>0.00538932425551856</v>
      </c>
    </row>
    <row r="94" customFormat="false" ht="15" hidden="false" customHeight="false" outlineLevel="0" collapsed="false">
      <c r="A94" s="26" t="s">
        <v>56</v>
      </c>
      <c r="B94" s="30" t="n">
        <f aca="false">IF(B$4=0,0,B32/B$4)</f>
        <v>0.000189733317079173</v>
      </c>
      <c r="C94" s="30" t="n">
        <f aca="false">IF(C$4=0,0,C32/C$4)</f>
        <v>0</v>
      </c>
      <c r="D94" s="30" t="n">
        <f aca="false">IF(D$4=0,0,D32/D$4)</f>
        <v>5.74991030577018E-005</v>
      </c>
      <c r="E94" s="30" t="n">
        <f aca="false">IF(E$4=0,0,E32/E$4)</f>
        <v>0.000641396704412952</v>
      </c>
      <c r="F94" s="30" t="n">
        <f aca="false">IF(F$4=0,0,F32/F$4)</f>
        <v>0.000363784481065233</v>
      </c>
      <c r="G94" s="30" t="n">
        <f aca="false">IF(G$4=0,0,G32/G$4)</f>
        <v>0.000231439387045183</v>
      </c>
      <c r="H94" s="30" t="n">
        <f aca="false">IF(H$4=0,0,H32/H$4)</f>
        <v>0.00026404785620059</v>
      </c>
    </row>
    <row r="95" customFormat="false" ht="15" hidden="false" customHeight="false" outlineLevel="0" collapsed="false">
      <c r="A95" s="24" t="s">
        <v>57</v>
      </c>
      <c r="B95" s="29" t="n">
        <f aca="false">IF(B$4=0,0,B33/B$4)</f>
        <v>1.37551496701274E-005</v>
      </c>
      <c r="C95" s="29" t="n">
        <f aca="false">IF(C$4=0,0,C33/C$4)</f>
        <v>0</v>
      </c>
      <c r="D95" s="29" t="n">
        <f aca="false">IF(D$4=0,0,D33/D$4)</f>
        <v>6.04092001010303E-005</v>
      </c>
      <c r="E95" s="29" t="n">
        <f aca="false">IF(E$4=0,0,E33/E$4)</f>
        <v>5.66195418913041E-005</v>
      </c>
      <c r="F95" s="29" t="n">
        <f aca="false">IF(F$4=0,0,F33/F$4)</f>
        <v>7.06899587543174E-005</v>
      </c>
      <c r="G95" s="29" t="n">
        <f aca="false">IF(G$4=0,0,G33/G$4)</f>
        <v>0.00020019134302005</v>
      </c>
      <c r="H95" s="29" t="n">
        <f aca="false">IF(H$4=0,0,H33/H$4)</f>
        <v>8.4971432110389E-005</v>
      </c>
    </row>
    <row r="96" customFormat="false" ht="15" hidden="false" customHeight="false" outlineLevel="0" collapsed="false">
      <c r="A96" s="26" t="s">
        <v>58</v>
      </c>
      <c r="B96" s="30" t="n">
        <f aca="false">IF(B$4=0,0,B34/B$4)</f>
        <v>0.000398230555570424</v>
      </c>
      <c r="C96" s="30" t="n">
        <f aca="false">IF(C$4=0,0,C34/C$4)</f>
        <v>0.000434159441008766</v>
      </c>
      <c r="D96" s="30" t="n">
        <f aca="false">IF(D$4=0,0,D34/D$4)</f>
        <v>0.000200581778643152</v>
      </c>
      <c r="E96" s="30" t="n">
        <f aca="false">IF(E$4=0,0,E34/E$4)</f>
        <v>0.000532186825239353</v>
      </c>
      <c r="F96" s="30" t="n">
        <f aca="false">IF(F$4=0,0,F34/F$4)</f>
        <v>0.000248569082107435</v>
      </c>
      <c r="G96" s="30" t="n">
        <f aca="false">IF(G$4=0,0,G34/G$4)</f>
        <v>8.19425086727821E-005</v>
      </c>
      <c r="H96" s="30" t="n">
        <f aca="false">IF(H$4=0,0,H34/H$4)</f>
        <v>0.000274803620529326</v>
      </c>
    </row>
    <row r="97" customFormat="false" ht="15" hidden="false" customHeight="false" outlineLevel="0" collapsed="false">
      <c r="A97" s="24" t="s">
        <v>59</v>
      </c>
      <c r="B97" s="29" t="n">
        <f aca="false">IF(B$4=0,0,B35/B$4)</f>
        <v>5.33367786346838E-005</v>
      </c>
      <c r="C97" s="29" t="n">
        <f aca="false">IF(C$4=0,0,C35/C$4)</f>
        <v>5.92089427687198E-005</v>
      </c>
      <c r="D97" s="29" t="n">
        <f aca="false">IF(D$4=0,0,D35/D$4)</f>
        <v>2.03300192647698E-005</v>
      </c>
      <c r="E97" s="29" t="n">
        <f aca="false">IF(E$4=0,0,E35/E$4)</f>
        <v>3.4761765254196E-005</v>
      </c>
      <c r="F97" s="29" t="n">
        <f aca="false">IF(F$4=0,0,F35/F$4)</f>
        <v>6.06579352898803E-005</v>
      </c>
      <c r="G97" s="29" t="n">
        <f aca="false">IF(G$4=0,0,G35/G$4)</f>
        <v>0.000219264569349613</v>
      </c>
      <c r="H97" s="29" t="n">
        <f aca="false">IF(H$4=0,0,H35/H$4)</f>
        <v>8.72836880303538E-005</v>
      </c>
    </row>
    <row r="98" customFormat="false" ht="15" hidden="false" customHeight="false" outlineLevel="0" collapsed="false">
      <c r="A98" s="26" t="s">
        <v>60</v>
      </c>
      <c r="B98" s="30" t="n">
        <f aca="false">IF(B$4=0,0,B36/B$4)</f>
        <v>0.00869657480006161</v>
      </c>
      <c r="C98" s="30" t="n">
        <f aca="false">IF(C$4=0,0,C36/C$4)</f>
        <v>0.00904663304720398</v>
      </c>
      <c r="D98" s="30" t="n">
        <f aca="false">IF(D$4=0,0,D36/D$4)</f>
        <v>0.0053250129031365</v>
      </c>
      <c r="E98" s="30" t="n">
        <f aca="false">IF(E$4=0,0,E36/E$4)</f>
        <v>0.00731577150576944</v>
      </c>
      <c r="F98" s="30" t="n">
        <f aca="false">IF(F$4=0,0,F36/F$4)</f>
        <v>0.00427525483496721</v>
      </c>
      <c r="G98" s="30" t="n">
        <f aca="false">IF(G$4=0,0,G36/G$4)</f>
        <v>0.00501072780592916</v>
      </c>
      <c r="H98" s="30" t="n">
        <f aca="false">IF(H$4=0,0,H36/H$4)</f>
        <v>0.00600461476123153</v>
      </c>
    </row>
    <row r="99" customFormat="false" ht="15" hidden="false" customHeight="false" outlineLevel="0" collapsed="false">
      <c r="A99" s="24" t="s">
        <v>61</v>
      </c>
      <c r="B99" s="29" t="n">
        <f aca="false">IF(B$4=0,0,B37/B$4)</f>
        <v>0.00596870094903252</v>
      </c>
      <c r="C99" s="29" t="n">
        <f aca="false">IF(C$4=0,0,C37/C$4)</f>
        <v>0.00675420093739894</v>
      </c>
      <c r="D99" s="29" t="n">
        <f aca="false">IF(D$4=0,0,D37/D$4)</f>
        <v>0.00351430521587744</v>
      </c>
      <c r="E99" s="29" t="n">
        <f aca="false">IF(E$4=0,0,E37/E$4)</f>
        <v>0.00862015407759185</v>
      </c>
      <c r="F99" s="29" t="n">
        <f aca="false">IF(F$4=0,0,F37/F$4)</f>
        <v>0.0036244147444681</v>
      </c>
      <c r="G99" s="29" t="n">
        <f aca="false">IF(G$4=0,0,G37/G$4)</f>
        <v>0.00434090090793581</v>
      </c>
      <c r="H99" s="29" t="n">
        <f aca="false">IF(H$4=0,0,H37/H$4)</f>
        <v>0.005044721892498</v>
      </c>
    </row>
    <row r="100" customFormat="false" ht="15" hidden="false" customHeight="false" outlineLevel="0" collapsed="false">
      <c r="A100" s="26" t="s">
        <v>62</v>
      </c>
      <c r="B100" s="30" t="n">
        <f aca="false">IF(B$4=0,0,B38/B$4)</f>
        <v>0.00219831956134942</v>
      </c>
      <c r="C100" s="30" t="n">
        <f aca="false">IF(C$4=0,0,C38/C$4)</f>
        <v>0.00260001269933141</v>
      </c>
      <c r="D100" s="30" t="n">
        <f aca="false">IF(D$4=0,0,D38/D$4)</f>
        <v>0.00183518067402114</v>
      </c>
      <c r="E100" s="30" t="n">
        <f aca="false">IF(E$4=0,0,E38/E$4)</f>
        <v>0.00472707338115772</v>
      </c>
      <c r="F100" s="30" t="n">
        <f aca="false">IF(F$4=0,0,F38/F$4)</f>
        <v>0.00457415639888261</v>
      </c>
      <c r="G100" s="30" t="n">
        <f aca="false">IF(G$4=0,0,G38/G$4)</f>
        <v>0.00400145123578824</v>
      </c>
      <c r="H100" s="30" t="n">
        <f aca="false">IF(H$4=0,0,H38/H$4)</f>
        <v>0.00354241778534334</v>
      </c>
    </row>
    <row r="101" customFormat="false" ht="15" hidden="false" customHeight="false" outlineLevel="0" collapsed="false">
      <c r="A101" s="24" t="s">
        <v>63</v>
      </c>
      <c r="B101" s="29" t="n">
        <f aca="false">IF(B$4=0,0,B39/B$4)</f>
        <v>0.000550205986805098</v>
      </c>
      <c r="C101" s="29" t="n">
        <f aca="false">IF(C$4=0,0,C39/C$4)</f>
        <v>0.000553850318815733</v>
      </c>
      <c r="D101" s="29" t="n">
        <f aca="false">IF(D$4=0,0,D39/D$4)</f>
        <v>0.000312937082254135</v>
      </c>
      <c r="E101" s="29" t="n">
        <f aca="false">IF(E$4=0,0,E39/E$4)</f>
        <v>0.000337083784283113</v>
      </c>
      <c r="F101" s="29" t="n">
        <f aca="false">IF(F$4=0,0,F39/F$4)</f>
        <v>0.000192884067428326</v>
      </c>
      <c r="G101" s="29" t="n">
        <f aca="false">IF(G$4=0,0,G39/G$4)</f>
        <v>0.000253275905189322</v>
      </c>
      <c r="H101" s="29" t="n">
        <f aca="false">IF(H$4=0,0,H39/H$4)</f>
        <v>0.000322057122873099</v>
      </c>
    </row>
    <row r="102" customFormat="false" ht="15" hidden="false" customHeight="false" outlineLevel="0" collapsed="false">
      <c r="A102" s="26" t="s">
        <v>64</v>
      </c>
      <c r="B102" s="30" t="n">
        <f aca="false">IF(B$4=0,0,B40/B$4)</f>
        <v>0.000434639013800734</v>
      </c>
      <c r="C102" s="30" t="n">
        <f aca="false">IF(C$4=0,0,C40/C$4)</f>
        <v>0.000408739068246729</v>
      </c>
      <c r="D102" s="30" t="n">
        <f aca="false">IF(D$4=0,0,D40/D$4)</f>
        <v>0.000266715331311448</v>
      </c>
      <c r="E102" s="30" t="n">
        <f aca="false">IF(E$4=0,0,E40/E$4)</f>
        <v>0.000322459263850413</v>
      </c>
      <c r="F102" s="30" t="n">
        <f aca="false">IF(F$4=0,0,F40/F$4)</f>
        <v>0.000188441578002982</v>
      </c>
      <c r="G102" s="30" t="n">
        <f aca="false">IF(G$4=0,0,G40/G$4)</f>
        <v>0.000189874226555603</v>
      </c>
      <c r="H102" s="30" t="n">
        <f aca="false">IF(H$4=0,0,H40/H$4)</f>
        <v>0.000269075373985333</v>
      </c>
    </row>
    <row r="103" customFormat="false" ht="15" hidden="false" customHeight="false" outlineLevel="0" collapsed="false">
      <c r="A103" s="24" t="s">
        <v>65</v>
      </c>
      <c r="B103" s="29" t="n">
        <f aca="false">IF(B$4=0,0,B41/B$4)</f>
        <v>0.00112782029511669</v>
      </c>
      <c r="C103" s="29" t="n">
        <f aca="false">IF(C$4=0,0,C41/C$4)</f>
        <v>0.000805044258512027</v>
      </c>
      <c r="D103" s="29" t="n">
        <f aca="false">IF(D$4=0,0,D41/D$4)</f>
        <v>0.000375071429704205</v>
      </c>
      <c r="E103" s="29" t="n">
        <f aca="false">IF(E$4=0,0,E41/E$4)</f>
        <v>0.000892304668115145</v>
      </c>
      <c r="F103" s="29" t="n">
        <f aca="false">IF(F$4=0,0,F41/F$4)</f>
        <v>7.69484311549173E-005</v>
      </c>
      <c r="G103" s="29" t="n">
        <f aca="false">IF(G$4=0,0,G41/G$4)</f>
        <v>5.16889602427188E-005</v>
      </c>
      <c r="H103" s="29" t="n">
        <f aca="false">IF(H$4=0,0,H41/H$4)</f>
        <v>0.000420490393734022</v>
      </c>
    </row>
    <row r="104" customFormat="false" ht="15" hidden="false" customHeight="false" outlineLevel="0" collapsed="false">
      <c r="A104" s="26" t="s">
        <v>66</v>
      </c>
      <c r="B104" s="30" t="n">
        <f aca="false">IF(B$4=0,0,B42/B$4)</f>
        <v>0.0195364035028191</v>
      </c>
      <c r="C104" s="30" t="n">
        <f aca="false">IF(C$4=0,0,C42/C$4)</f>
        <v>0.0160043721264882</v>
      </c>
      <c r="D104" s="30" t="n">
        <f aca="false">IF(D$4=0,0,D42/D$4)</f>
        <v>0.0178224420814414</v>
      </c>
      <c r="E104" s="30" t="n">
        <f aca="false">IF(E$4=0,0,E42/E$4)</f>
        <v>0.00853992462564305</v>
      </c>
      <c r="F104" s="30" t="n">
        <f aca="false">IF(F$4=0,0,F42/F$4)</f>
        <v>0</v>
      </c>
      <c r="G104" s="30" t="n">
        <f aca="false">IF(G$4=0,0,G42/G$4)</f>
        <v>0</v>
      </c>
      <c r="H104" s="30" t="n">
        <f aca="false">IF(H$4=0,0,H42/H$4)</f>
        <v>0.0079117444235284</v>
      </c>
    </row>
    <row r="105" customFormat="false" ht="15" hidden="false" customHeight="false" outlineLevel="0" collapsed="false">
      <c r="A105" s="24" t="s">
        <v>67</v>
      </c>
      <c r="B105" s="29" t="n">
        <f aca="false">IF(B$4=0,0,B43/B$4)</f>
        <v>0</v>
      </c>
      <c r="C105" s="29" t="n">
        <f aca="false">IF(C$4=0,0,C43/C$4)</f>
        <v>0</v>
      </c>
      <c r="D105" s="29" t="n">
        <f aca="false">IF(D$4=0,0,D43/D$4)</f>
        <v>0</v>
      </c>
      <c r="E105" s="29" t="n">
        <f aca="false">IF(E$4=0,0,E43/E$4)</f>
        <v>0</v>
      </c>
      <c r="F105" s="29" t="n">
        <f aca="false">IF(F$4=0,0,F43/F$4)</f>
        <v>0</v>
      </c>
      <c r="G105" s="29" t="n">
        <f aca="false">IF(G$4=0,0,G43/G$4)</f>
        <v>0</v>
      </c>
      <c r="H105" s="29" t="n">
        <f aca="false">IF(H$4=0,0,H43/H$4)</f>
        <v>0</v>
      </c>
    </row>
    <row r="106" customFormat="false" ht="15" hidden="false" customHeight="false" outlineLevel="0" collapsed="false">
      <c r="A106" s="26" t="s">
        <v>68</v>
      </c>
      <c r="B106" s="30" t="n">
        <f aca="false">IF(B$4=0,0,B44/B$4)</f>
        <v>0.000498031281159787</v>
      </c>
      <c r="C106" s="30" t="n">
        <f aca="false">IF(C$4=0,0,C44/C$4)</f>
        <v>0.000518078249226298</v>
      </c>
      <c r="D106" s="30" t="n">
        <f aca="false">IF(D$4=0,0,D44/D$4)</f>
        <v>0.000304950288971547</v>
      </c>
      <c r="E106" s="30" t="n">
        <f aca="false">IF(E$4=0,0,E44/E$4)</f>
        <v>0.000368685389059655</v>
      </c>
      <c r="F106" s="30" t="n">
        <f aca="false">IF(F$4=0,0,F44/F$4)</f>
        <v>0.000215455607233769</v>
      </c>
      <c r="G106" s="30" t="n">
        <f aca="false">IF(G$4=0,0,G44/G$4)</f>
        <v>0.000217093633019419</v>
      </c>
      <c r="H106" s="30" t="n">
        <f aca="false">IF(H$4=0,0,H44/H$4)</f>
        <v>0.00031286967989214</v>
      </c>
    </row>
    <row r="107" customFormat="false" ht="15" hidden="false" customHeight="false" outlineLevel="0" collapsed="false">
      <c r="A107" s="24" t="s">
        <v>69</v>
      </c>
      <c r="B107" s="29" t="n">
        <f aca="false">IF(B$4=0,0,B45/B$4)</f>
        <v>0.00021453764645846</v>
      </c>
      <c r="C107" s="29" t="n">
        <f aca="false">IF(C$4=0,0,C45/C$4)</f>
        <v>9.47959844120024E-005</v>
      </c>
      <c r="D107" s="29" t="n">
        <f aca="false">IF(D$4=0,0,D45/D$4)</f>
        <v>0.000177937041470665</v>
      </c>
      <c r="E107" s="29" t="n">
        <f aca="false">IF(E$4=0,0,E45/E$4)</f>
        <v>0.000318054351273505</v>
      </c>
      <c r="F107" s="29" t="n">
        <f aca="false">IF(F$4=0,0,F45/F$4)</f>
        <v>0.000116801562618672</v>
      </c>
      <c r="G107" s="29" t="n">
        <f aca="false">IF(G$4=0,0,G45/G$4)</f>
        <v>0.000138668041201551</v>
      </c>
      <c r="H107" s="29" t="n">
        <f aca="false">IF(H$4=0,0,H45/H$4)</f>
        <v>0.000168990101552726</v>
      </c>
    </row>
    <row r="108" customFormat="false" ht="15" hidden="false" customHeight="false" outlineLevel="0" collapsed="false">
      <c r="A108" s="26" t="s">
        <v>70</v>
      </c>
      <c r="B108" s="30" t="n">
        <f aca="false">IF(B$4=0,0,B46/B$4)</f>
        <v>5.40435087384248E-005</v>
      </c>
      <c r="C108" s="30" t="n">
        <f aca="false">IF(C$4=0,0,C46/C$4)</f>
        <v>0.000152307604154686</v>
      </c>
      <c r="D108" s="30" t="n">
        <f aca="false">IF(D$4=0,0,D46/D$4)</f>
        <v>0.00012429192920787</v>
      </c>
      <c r="E108" s="30" t="n">
        <f aca="false">IF(E$4=0,0,E46/E$4)</f>
        <v>0.000117194551313805</v>
      </c>
      <c r="F108" s="30" t="n">
        <f aca="false">IF(F$4=0,0,F46/F$4)</f>
        <v>0.000105423454598565</v>
      </c>
      <c r="G108" s="30" t="n">
        <f aca="false">IF(G$4=0,0,G46/G$4)</f>
        <v>7.03672829160276E-005</v>
      </c>
      <c r="H108" s="30" t="n">
        <f aca="false">IF(H$4=0,0,H46/H$4)</f>
        <v>0.000101233702805227</v>
      </c>
    </row>
    <row r="109" customFormat="false" ht="15" hidden="false" customHeight="false" outlineLevel="0" collapsed="false">
      <c r="A109" s="24" t="s">
        <v>71</v>
      </c>
      <c r="B109" s="29" t="n">
        <f aca="false">IF(B$4=0,0,B47/B$4)</f>
        <v>5.24332075960082E-005</v>
      </c>
      <c r="C109" s="29" t="n">
        <f aca="false">IF(C$4=0,0,C47/C$4)</f>
        <v>0</v>
      </c>
      <c r="D109" s="29" t="n">
        <f aca="false">IF(D$4=0,0,D47/D$4)</f>
        <v>6.56369193405426E-005</v>
      </c>
      <c r="E109" s="29" t="n">
        <f aca="false">IF(E$4=0,0,E47/E$4)</f>
        <v>1.22895129686552E-005</v>
      </c>
      <c r="F109" s="29" t="n">
        <f aca="false">IF(F$4=0,0,F47/F$4)</f>
        <v>0</v>
      </c>
      <c r="G109" s="29" t="n">
        <f aca="false">IF(G$4=0,0,G47/G$4)</f>
        <v>4.1351168194175E-006</v>
      </c>
      <c r="H109" s="29" t="n">
        <f aca="false">IF(H$4=0,0,H47/H$4)</f>
        <v>1.94448506052965E-005</v>
      </c>
    </row>
    <row r="110" customFormat="false" ht="15" hidden="false" customHeight="false" outlineLevel="0" collapsed="false">
      <c r="A110" s="26" t="s">
        <v>72</v>
      </c>
      <c r="B110" s="30" t="n">
        <f aca="false">IF(B$4=0,0,B48/B$4)</f>
        <v>0.000302632265363038</v>
      </c>
      <c r="C110" s="30" t="n">
        <f aca="false">IF(C$4=0,0,C48/C$4)</f>
        <v>0.000280364212167016</v>
      </c>
      <c r="D110" s="30" t="n">
        <f aca="false">IF(D$4=0,0,D48/D$4)</f>
        <v>0.000506589228616467</v>
      </c>
      <c r="E110" s="30" t="n">
        <f aca="false">IF(E$4=0,0,E48/E$4)</f>
        <v>0.000562961521357575</v>
      </c>
      <c r="F110" s="30" t="n">
        <f aca="false">IF(F$4=0,0,F48/F$4)</f>
        <v>0.000186036683034621</v>
      </c>
      <c r="G110" s="30" t="n">
        <f aca="false">IF(G$4=0,0,G48/G$4)</f>
        <v>0.000409120187879529</v>
      </c>
      <c r="H110" s="30" t="n">
        <f aca="false">IF(H$4=0,0,H48/H$4)</f>
        <v>0.00036944545715035</v>
      </c>
    </row>
    <row r="111" customFormat="false" ht="15" hidden="false" customHeight="false" outlineLevel="0" collapsed="false">
      <c r="A111" s="24" t="s">
        <v>73</v>
      </c>
      <c r="B111" s="29" t="n">
        <f aca="false">IF(B$4=0,0,B49/B$4)</f>
        <v>0.000365621364542105</v>
      </c>
      <c r="C111" s="29" t="n">
        <f aca="false">IF(C$4=0,0,C49/C$4)</f>
        <v>0.000321923955912094</v>
      </c>
      <c r="D111" s="29" t="n">
        <f aca="false">IF(D$4=0,0,D49/D$4)</f>
        <v>0.000393149173263285</v>
      </c>
      <c r="E111" s="29" t="n">
        <f aca="false">IF(E$4=0,0,E49/E$4)</f>
        <v>0.000950274300788292</v>
      </c>
      <c r="F111" s="29" t="n">
        <f aca="false">IF(F$4=0,0,F49/F$4)</f>
        <v>9.58869790307656E-005</v>
      </c>
      <c r="G111" s="29" t="n">
        <f aca="false">IF(G$4=0,0,G49/G$4)</f>
        <v>0.000538636181780504</v>
      </c>
      <c r="H111" s="29" t="n">
        <f aca="false">IF(H$4=0,0,H49/H$4)</f>
        <v>0.000424896393416567</v>
      </c>
    </row>
    <row r="112" customFormat="false" ht="15" hidden="false" customHeight="false" outlineLevel="0" collapsed="false">
      <c r="A112" s="26" t="s">
        <v>74</v>
      </c>
      <c r="B112" s="30" t="n">
        <f aca="false">IF(B$4=0,0,B50/B$4)</f>
        <v>0</v>
      </c>
      <c r="C112" s="30" t="n">
        <f aca="false">IF(C$4=0,0,C50/C$4)</f>
        <v>0.001233519641015</v>
      </c>
      <c r="D112" s="30" t="n">
        <f aca="false">IF(D$4=0,0,D50/D$4)</f>
        <v>0.00117620778600559</v>
      </c>
      <c r="E112" s="30" t="n">
        <f aca="false">IF(E$4=0,0,E50/E$4)</f>
        <v>0.00277040735207683</v>
      </c>
      <c r="F112" s="30" t="n">
        <f aca="false">IF(F$4=0,0,F50/F$4)</f>
        <v>0.000246234979695735</v>
      </c>
      <c r="G112" s="30" t="n">
        <f aca="false">IF(G$4=0,0,G50/G$4)</f>
        <v>0.00111340294677067</v>
      </c>
      <c r="H112" s="30" t="n">
        <f aca="false">IF(H$4=0,0,H50/H$4)</f>
        <v>0.00104414097594112</v>
      </c>
    </row>
    <row r="113" customFormat="false" ht="15" hidden="false" customHeight="false" outlineLevel="0" collapsed="false">
      <c r="A113" s="24" t="s">
        <v>75</v>
      </c>
      <c r="B113" s="29" t="n">
        <f aca="false">IF(B$4=0,0,B51/B$4)</f>
        <v>4.97604397204507E-005</v>
      </c>
      <c r="C113" s="29" t="n">
        <f aca="false">IF(C$4=0,0,C51/C$4)</f>
        <v>5.17634182155533E-005</v>
      </c>
      <c r="D113" s="29" t="n">
        <f aca="false">IF(D$4=0,0,D51/D$4)</f>
        <v>3.04688903009572E-005</v>
      </c>
      <c r="E113" s="29" t="n">
        <f aca="false">IF(E$4=0,0,E51/E$4)</f>
        <v>3.68369373011889E-005</v>
      </c>
      <c r="F113" s="29" t="n">
        <f aca="false">IF(F$4=0,0,F51/F$4)</f>
        <v>2.15270930998997E-005</v>
      </c>
      <c r="G113" s="29" t="n">
        <f aca="false">IF(G$4=0,0,G51/G$4)</f>
        <v>2.16907552762545E-005</v>
      </c>
      <c r="H113" s="29" t="n">
        <f aca="false">IF(H$4=0,0,H51/H$4)</f>
        <v>3.12601505880804E-005</v>
      </c>
    </row>
    <row r="114" customFormat="false" ht="15" hidden="false" customHeight="false" outlineLevel="0" collapsed="false">
      <c r="A114" s="26" t="s">
        <v>76</v>
      </c>
      <c r="B114" s="30" t="n">
        <f aca="false">IF(B$4=0,0,B52/B$4)</f>
        <v>0.00400867986940794</v>
      </c>
      <c r="C114" s="30" t="n">
        <f aca="false">IF(C$4=0,0,C52/C$4)</f>
        <v>0.00126965683241817</v>
      </c>
      <c r="D114" s="30" t="n">
        <f aca="false">IF(D$4=0,0,D52/D$4)</f>
        <v>0.000944789724570482</v>
      </c>
      <c r="E114" s="30" t="n">
        <f aca="false">IF(E$4=0,0,E52/E$4)</f>
        <v>0.000889188398755236</v>
      </c>
      <c r="F114" s="30" t="n">
        <f aca="false">IF(F$4=0,0,F52/F$4)</f>
        <v>0.000590521754285395</v>
      </c>
      <c r="G114" s="30" t="n">
        <f aca="false">IF(G$4=0,0,G52/G$4)</f>
        <v>0.000990421471223578</v>
      </c>
      <c r="H114" s="30" t="n">
        <f aca="false">IF(H$4=0,0,H52/H$4)</f>
        <v>0.00121563974604618</v>
      </c>
    </row>
    <row r="115" customFormat="false" ht="15" hidden="false" customHeight="false" outlineLevel="0" collapsed="false">
      <c r="A115" s="17" t="s">
        <v>16</v>
      </c>
      <c r="B115" s="19" t="n">
        <f aca="false">IF(B$4=0,0,B53/B$4)</f>
        <v>-0.00902602723570386</v>
      </c>
      <c r="C115" s="19" t="n">
        <f aca="false">IF(C$4=0,0,C53/C$4)</f>
        <v>0.0219137749343845</v>
      </c>
      <c r="D115" s="19" t="n">
        <f aca="false">IF(D$4=0,0,D53/D$4)</f>
        <v>-0.103316826814675</v>
      </c>
      <c r="E115" s="19" t="n">
        <f aca="false">IF(E$4=0,0,E53/E$4)</f>
        <v>-0.010343484390871</v>
      </c>
      <c r="F115" s="19" t="n">
        <f aca="false">IF(F$4=0,0,F53/F$4)</f>
        <v>0.0045060293358753</v>
      </c>
      <c r="G115" s="19" t="n">
        <f aca="false">IF(G$4=0,0,G53/G$4)</f>
        <v>-0.0421402053411762</v>
      </c>
      <c r="H115" s="19" t="n">
        <f aca="false">IF(H$4=0,0,H53/H$4)</f>
        <v>-0.0269003242625561</v>
      </c>
    </row>
    <row r="116" customFormat="false" ht="15" hidden="false" customHeight="false" outlineLevel="0" collapsed="false">
      <c r="A116" s="17" t="s">
        <v>17</v>
      </c>
      <c r="B116" s="19" t="n">
        <f aca="false">IF(B$4=0,0,B54/B$4)</f>
        <v>-0.000485488007607148</v>
      </c>
      <c r="C116" s="19" t="n">
        <f aca="false">IF(C$4=0,0,C54/C$4)</f>
        <v>0.00475960954603482</v>
      </c>
      <c r="D116" s="19" t="n">
        <f aca="false">IF(D$4=0,0,D54/D$4)</f>
        <v>0.0022925030052379</v>
      </c>
      <c r="E116" s="19" t="n">
        <f aca="false">IF(E$4=0,0,E54/E$4)</f>
        <v>0.00455803113027386</v>
      </c>
      <c r="F116" s="19" t="n">
        <f aca="false">IF(F$4=0,0,F54/F$4)</f>
        <v>-0.00344182945506554</v>
      </c>
      <c r="G116" s="19" t="n">
        <f aca="false">IF(G$4=0,0,G54/G$4)</f>
        <v>-0.0101935085187014</v>
      </c>
      <c r="H116" s="19" t="n">
        <f aca="false">IF(H$4=0,0,H54/H$4)</f>
        <v>-0.00181653700493776</v>
      </c>
    </row>
    <row r="117" customFormat="false" ht="15" hidden="false" customHeight="false" outlineLevel="0" collapsed="false">
      <c r="A117" s="24" t="s">
        <v>77</v>
      </c>
      <c r="B117" s="29" t="n">
        <f aca="false">IF(B$4=0,0,B55/B$4)</f>
        <v>0</v>
      </c>
      <c r="C117" s="29" t="n">
        <f aca="false">IF(C$4=0,0,C55/C$4)</f>
        <v>0.00904071215292711</v>
      </c>
      <c r="D117" s="29" t="n">
        <f aca="false">IF(D$4=0,0,D55/D$4)</f>
        <v>0.00453609924484594</v>
      </c>
      <c r="E117" s="29" t="n">
        <f aca="false">IF(E$4=0,0,E55/E$4)</f>
        <v>0.00541300552492436</v>
      </c>
      <c r="F117" s="29" t="n">
        <f aca="false">IF(F$4=0,0,F55/F$4)</f>
        <v>0.00234274012959107</v>
      </c>
      <c r="G117" s="29" t="n">
        <f aca="false">IF(G$4=0,0,G55/G$4)</f>
        <v>0.000317161392490913</v>
      </c>
      <c r="H117" s="29" t="n">
        <f aca="false">IF(H$4=0,0,H55/H$4)</f>
        <v>0.00309436630421279</v>
      </c>
    </row>
    <row r="118" customFormat="false" ht="15" hidden="false" customHeight="false" outlineLevel="0" collapsed="false">
      <c r="A118" s="26" t="s">
        <v>78</v>
      </c>
      <c r="B118" s="30" t="n">
        <f aca="false">IF(B$4=0,0,B56/B$4)</f>
        <v>0.00034432696990623</v>
      </c>
      <c r="C118" s="30" t="n">
        <f aca="false">IF(C$4=0,0,C56/C$4)</f>
        <v>0.000748055651097134</v>
      </c>
      <c r="D118" s="30" t="n">
        <f aca="false">IF(D$4=0,0,D56/D$4)</f>
        <v>0.000160405304143267</v>
      </c>
      <c r="E118" s="30" t="n">
        <f aca="false">IF(E$4=0,0,E56/E$4)</f>
        <v>0.000295316996636783</v>
      </c>
      <c r="F118" s="30" t="n">
        <f aca="false">IF(F$4=0,0,F56/F$4)</f>
        <v>3.33238005854895E-005</v>
      </c>
      <c r="G118" s="30" t="n">
        <f aca="false">IF(G$4=0,0,G56/G$4)</f>
        <v>5.51521205789809E-005</v>
      </c>
      <c r="H118" s="30" t="n">
        <f aca="false">IF(H$4=0,0,H56/H$4)</f>
        <v>0.000201853088477079</v>
      </c>
    </row>
    <row r="119" customFormat="false" ht="15" hidden="false" customHeight="false" outlineLevel="0" collapsed="false">
      <c r="A119" s="24" t="s">
        <v>79</v>
      </c>
      <c r="B119" s="29" t="n">
        <f aca="false">IF(B$4=0,0,B57/B$4)</f>
        <v>1.17155929949016E-006</v>
      </c>
      <c r="C119" s="29" t="n">
        <f aca="false">IF(C$4=0,0,C57/C$4)</f>
        <v>1.21254980711774E-005</v>
      </c>
      <c r="D119" s="29" t="n">
        <f aca="false">IF(D$4=0,0,D57/D$4)</f>
        <v>3.86851223723906E-006</v>
      </c>
      <c r="E119" s="29" t="n">
        <f aca="false">IF(E$4=0,0,E57/E$4)</f>
        <v>3.0037325340103E-005</v>
      </c>
      <c r="F119" s="29" t="n">
        <f aca="false">IF(F$4=0,0,F57/F$4)</f>
        <v>5.35109650042116E-005</v>
      </c>
      <c r="G119" s="29" t="n">
        <f aca="false">IF(G$4=0,0,G57/G$4)</f>
        <v>2.43971892345633E-007</v>
      </c>
      <c r="H119" s="29" t="n">
        <f aca="false">IF(H$4=0,0,H57/H$4)</f>
        <v>1.92623432920261E-005</v>
      </c>
    </row>
    <row r="120" customFormat="false" ht="15" hidden="false" customHeight="false" outlineLevel="0" collapsed="false">
      <c r="A120" s="26" t="s">
        <v>80</v>
      </c>
      <c r="B120" s="30" t="n">
        <f aca="false">IF(B$4=0,0,B58/B$4)</f>
        <v>0</v>
      </c>
      <c r="C120" s="30" t="n">
        <f aca="false">IF(C$4=0,0,C58/C$4)</f>
        <v>0</v>
      </c>
      <c r="D120" s="30" t="n">
        <f aca="false">IF(D$4=0,0,D58/D$4)</f>
        <v>0</v>
      </c>
      <c r="E120" s="30" t="n">
        <f aca="false">IF(E$4=0,0,E58/E$4)</f>
        <v>0</v>
      </c>
      <c r="F120" s="30" t="n">
        <f aca="false">IF(F$4=0,0,F58/F$4)</f>
        <v>0</v>
      </c>
      <c r="G120" s="30" t="n">
        <f aca="false">IF(G$4=0,0,G58/G$4)</f>
        <v>0</v>
      </c>
      <c r="H120" s="30" t="n">
        <f aca="false">IF(H$4=0,0,H58/H$4)</f>
        <v>0</v>
      </c>
    </row>
    <row r="121" customFormat="false" ht="15" hidden="false" customHeight="false" outlineLevel="0" collapsed="false">
      <c r="A121" s="24" t="s">
        <v>81</v>
      </c>
      <c r="B121" s="29" t="n">
        <f aca="false">IF(B$4=0,0,B59/B$4)</f>
        <v>0.000830986536812868</v>
      </c>
      <c r="C121" s="29" t="n">
        <f aca="false">IF(C$4=0,0,C59/C$4)</f>
        <v>0.0050412837560606</v>
      </c>
      <c r="D121" s="29" t="n">
        <f aca="false">IF(D$4=0,0,D59/D$4)</f>
        <v>0.00240787005598854</v>
      </c>
      <c r="E121" s="29" t="n">
        <f aca="false">IF(E$4=0,0,E59/E$4)</f>
        <v>0.00118032871662739</v>
      </c>
      <c r="F121" s="29" t="n">
        <f aca="false">IF(F$4=0,0,F59/F$4)</f>
        <v>0.00587140435024631</v>
      </c>
      <c r="G121" s="29" t="n">
        <f aca="false">IF(G$4=0,0,G59/G$4)</f>
        <v>0.0105660660036637</v>
      </c>
      <c r="H121" s="29" t="n">
        <f aca="false">IF(H$4=0,0,H59/H$4)</f>
        <v>0.00513201874091965</v>
      </c>
    </row>
    <row r="122" customFormat="false" ht="15" hidden="false" customHeight="false" outlineLevel="0" collapsed="false">
      <c r="A122" s="17" t="s">
        <v>82</v>
      </c>
      <c r="B122" s="19" t="n">
        <f aca="false">IF(B$4=0,0,B60/B$4)</f>
        <v>-0.00951151524331101</v>
      </c>
      <c r="C122" s="19" t="n">
        <f aca="false">IF(C$4=0,0,C60/C$4)</f>
        <v>0.0266733844804193</v>
      </c>
      <c r="D122" s="19" t="n">
        <f aca="false">IF(D$4=0,0,D60/D$4)</f>
        <v>-0.101024323809437</v>
      </c>
      <c r="E122" s="19" t="n">
        <f aca="false">IF(E$4=0,0,E60/E$4)</f>
        <v>-0.00578545326059714</v>
      </c>
      <c r="F122" s="19" t="n">
        <f aca="false">IF(F$4=0,0,F60/F$4)</f>
        <v>0.00106419988080975</v>
      </c>
      <c r="G122" s="19" t="n">
        <f aca="false">IF(G$4=0,0,G60/G$4)</f>
        <v>-0.0523337138598776</v>
      </c>
      <c r="H122" s="19" t="n">
        <f aca="false">IF(H$4=0,0,H60/H$4)</f>
        <v>-0.0287168612674939</v>
      </c>
    </row>
    <row r="123" customFormat="false" ht="15" hidden="false" customHeight="false" outlineLevel="0" collapsed="false">
      <c r="A123" s="24" t="s">
        <v>83</v>
      </c>
      <c r="B123" s="29" t="n">
        <f aca="false">IF(B$4=0,0,B61/B$4)</f>
        <v>0</v>
      </c>
      <c r="C123" s="29" t="n">
        <f aca="false">IF(C$4=0,0,C61/C$4)</f>
        <v>0</v>
      </c>
      <c r="D123" s="29" t="n">
        <f aca="false">IF(D$4=0,0,D61/D$4)</f>
        <v>0</v>
      </c>
      <c r="E123" s="29" t="n">
        <f aca="false">IF(E$4=0,0,E61/E$4)</f>
        <v>0</v>
      </c>
      <c r="F123" s="29" t="n">
        <f aca="false">IF(F$4=0,0,F61/F$4)</f>
        <v>0</v>
      </c>
      <c r="G123" s="29" t="n">
        <f aca="false">IF(G$4=0,0,G61/G$4)</f>
        <v>0</v>
      </c>
      <c r="H123" s="29" t="n">
        <f aca="false">IF(H$4=0,0,H61/H$4)</f>
        <v>0</v>
      </c>
    </row>
    <row r="124" customFormat="false" ht="15" hidden="false" customHeight="false" outlineLevel="0" collapsed="false">
      <c r="A124" s="17" t="s">
        <v>18</v>
      </c>
      <c r="B124" s="19" t="n">
        <f aca="false">IF(B$4=0,0,B62/B$4)</f>
        <v>-0.00951151524331101</v>
      </c>
      <c r="C124" s="19" t="n">
        <f aca="false">IF(C$4=0,0,C62/C$4)</f>
        <v>0.0266733844804193</v>
      </c>
      <c r="D124" s="19" t="n">
        <f aca="false">IF(D$4=0,0,D62/D$4)</f>
        <v>-0.101024323809437</v>
      </c>
      <c r="E124" s="19" t="n">
        <f aca="false">IF(E$4=0,0,E62/E$4)</f>
        <v>-0.00578545326059714</v>
      </c>
      <c r="F124" s="19" t="n">
        <f aca="false">IF(F$4=0,0,F62/F$4)</f>
        <v>0.00106419988080975</v>
      </c>
      <c r="G124" s="19" t="n">
        <f aca="false">IF(G$4=0,0,G62/G$4)</f>
        <v>-0.0523337138598776</v>
      </c>
      <c r="H124" s="19" t="n">
        <f aca="false">IF(H$4=0,0,H62/H$4)</f>
        <v>-0.0287168612674939</v>
      </c>
    </row>
  </sheetData>
  <mergeCells count="3">
    <mergeCell ref="A1:H1"/>
    <mergeCell ref="A2:H2"/>
    <mergeCell ref="A64:H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8" min="2" style="0" width="16"/>
  </cols>
  <sheetData>
    <row r="1" customFormat="false" ht="24" hidden="false" customHeight="true" outlineLevel="0" collapsed="false">
      <c r="A1" s="21" t="s">
        <v>85</v>
      </c>
      <c r="B1" s="21"/>
      <c r="C1" s="21"/>
      <c r="D1" s="21"/>
      <c r="E1" s="21"/>
      <c r="F1" s="21"/>
      <c r="G1" s="21"/>
      <c r="H1" s="21"/>
    </row>
    <row r="2" customFormat="false" ht="13.5" hidden="false" customHeight="true" outlineLevel="0" collapsed="false">
      <c r="A2" s="2" t="s">
        <v>39</v>
      </c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22" t="s">
        <v>3</v>
      </c>
      <c r="B3" s="23" t="s">
        <v>4</v>
      </c>
      <c r="C3" s="23" t="s">
        <v>5</v>
      </c>
      <c r="D3" s="23" t="s">
        <v>6</v>
      </c>
      <c r="E3" s="23" t="s">
        <v>7</v>
      </c>
      <c r="F3" s="23" t="s">
        <v>8</v>
      </c>
      <c r="G3" s="23" t="s">
        <v>9</v>
      </c>
      <c r="H3" s="23" t="s">
        <v>10</v>
      </c>
    </row>
    <row r="4" customFormat="false" ht="15" hidden="false" customHeight="false" outlineLevel="0" collapsed="false">
      <c r="A4" s="17" t="s">
        <v>12</v>
      </c>
      <c r="B4" s="18" t="n">
        <v>3158603.05</v>
      </c>
      <c r="C4" s="18" t="n">
        <v>2955216.66</v>
      </c>
      <c r="D4" s="18" t="n">
        <v>5477838.09</v>
      </c>
      <c r="E4" s="18" t="n">
        <v>4334825.27</v>
      </c>
      <c r="F4" s="18" t="n">
        <v>7914315.53</v>
      </c>
      <c r="G4" s="18" t="n">
        <v>7925630.73</v>
      </c>
      <c r="H4" s="18" t="n">
        <f aca="false">SUM(B4:G4)</f>
        <v>31766429.33</v>
      </c>
    </row>
    <row r="5" customFormat="false" ht="15" hidden="false" customHeight="false" outlineLevel="0" collapsed="false">
      <c r="A5" s="24" t="s">
        <v>28</v>
      </c>
      <c r="B5" s="25" t="n">
        <v>3242617.5</v>
      </c>
      <c r="C5" s="25" t="n">
        <v>3127824</v>
      </c>
      <c r="D5" s="25" t="n">
        <v>5562027</v>
      </c>
      <c r="E5" s="25" t="n">
        <v>4343678.12</v>
      </c>
      <c r="F5" s="25" t="n">
        <v>7960686.5</v>
      </c>
      <c r="G5" s="25" t="n">
        <v>8015027.5</v>
      </c>
      <c r="H5" s="25" t="n">
        <f aca="false">SUM(B5:G5)</f>
        <v>32251860.62</v>
      </c>
    </row>
    <row r="6" customFormat="false" ht="15" hidden="false" customHeight="false" outlineLevel="0" collapsed="false">
      <c r="A6" s="26" t="s">
        <v>40</v>
      </c>
      <c r="B6" s="27" t="n">
        <v>-84014.45</v>
      </c>
      <c r="C6" s="27" t="n">
        <v>-172607.34</v>
      </c>
      <c r="D6" s="27" t="n">
        <v>-84188.91</v>
      </c>
      <c r="E6" s="27" t="n">
        <v>-8852.85</v>
      </c>
      <c r="F6" s="27" t="n">
        <v>-46370.97</v>
      </c>
      <c r="G6" s="27" t="n">
        <v>-89396.77</v>
      </c>
      <c r="H6" s="27" t="n">
        <f aca="false">SUM(B6:G6)</f>
        <v>-485431.29</v>
      </c>
    </row>
    <row r="7" customFormat="false" ht="15" hidden="false" customHeight="false" outlineLevel="0" collapsed="false">
      <c r="A7" s="17" t="s">
        <v>13</v>
      </c>
      <c r="B7" s="18" t="n">
        <v>2864361.81</v>
      </c>
      <c r="C7" s="18" t="n">
        <v>2584803.81</v>
      </c>
      <c r="D7" s="18" t="n">
        <v>5709723.28</v>
      </c>
      <c r="E7" s="18" t="n">
        <v>3985612.99</v>
      </c>
      <c r="F7" s="18" t="n">
        <v>7429220.1</v>
      </c>
      <c r="G7" s="18" t="n">
        <v>7594807.64</v>
      </c>
      <c r="H7" s="18" t="n">
        <f aca="false">SUM(B7:G7)</f>
        <v>30168529.63</v>
      </c>
    </row>
    <row r="8" customFormat="false" ht="15" hidden="false" customHeight="false" outlineLevel="0" collapsed="false">
      <c r="A8" s="26" t="s">
        <v>41</v>
      </c>
      <c r="B8" s="27" t="n">
        <v>2900361.81</v>
      </c>
      <c r="C8" s="27" t="n">
        <v>2861817.56</v>
      </c>
      <c r="D8" s="27" t="n">
        <v>5728623.28</v>
      </c>
      <c r="E8" s="27" t="n">
        <v>4170262.99</v>
      </c>
      <c r="F8" s="27" t="n">
        <v>7455180.1</v>
      </c>
      <c r="G8" s="27" t="n">
        <v>7594807.64</v>
      </c>
      <c r="H8" s="27" t="n">
        <f aca="false">SUM(B8:G8)</f>
        <v>30711053.38</v>
      </c>
    </row>
    <row r="9" customFormat="false" ht="15" hidden="false" customHeight="false" outlineLevel="0" collapsed="false">
      <c r="A9" s="24" t="s">
        <v>49</v>
      </c>
      <c r="B9" s="25" t="n">
        <v>0</v>
      </c>
      <c r="C9" s="25" t="n">
        <v>0</v>
      </c>
      <c r="D9" s="25" t="n">
        <v>0</v>
      </c>
      <c r="E9" s="25" t="n">
        <v>0</v>
      </c>
      <c r="F9" s="25" t="n">
        <v>0</v>
      </c>
      <c r="G9" s="25" t="n">
        <v>0</v>
      </c>
      <c r="H9" s="25" t="n">
        <f aca="false">SUM(B9:G9)</f>
        <v>0</v>
      </c>
    </row>
    <row r="10" customFormat="false" ht="15" hidden="false" customHeight="false" outlineLevel="0" collapsed="false">
      <c r="A10" s="26" t="s">
        <v>50</v>
      </c>
      <c r="B10" s="27" t="n">
        <v>-36000</v>
      </c>
      <c r="C10" s="27" t="n">
        <v>-277013.75</v>
      </c>
      <c r="D10" s="27" t="n">
        <v>-18900</v>
      </c>
      <c r="E10" s="27" t="n">
        <v>-184650</v>
      </c>
      <c r="F10" s="27" t="n">
        <v>-25960</v>
      </c>
      <c r="G10" s="27" t="n">
        <v>0</v>
      </c>
      <c r="H10" s="27" t="n">
        <f aca="false">SUM(B10:G10)</f>
        <v>-542523.75</v>
      </c>
    </row>
    <row r="11" customFormat="false" ht="15" hidden="false" customHeight="false" outlineLevel="0" collapsed="false">
      <c r="A11" s="17" t="s">
        <v>14</v>
      </c>
      <c r="B11" s="18" t="n">
        <v>294241.24</v>
      </c>
      <c r="C11" s="18" t="n">
        <v>370412.85</v>
      </c>
      <c r="D11" s="18" t="n">
        <v>-231885.19</v>
      </c>
      <c r="E11" s="18" t="n">
        <v>349212.28</v>
      </c>
      <c r="F11" s="18" t="n">
        <v>485095.43</v>
      </c>
      <c r="G11" s="18" t="n">
        <v>330823.09</v>
      </c>
      <c r="H11" s="18" t="n">
        <f aca="false">SUM(B11:G11)</f>
        <v>1597899.7</v>
      </c>
    </row>
    <row r="12" customFormat="false" ht="15" hidden="false" customHeight="false" outlineLevel="0" collapsed="false">
      <c r="A12" s="17" t="s">
        <v>15</v>
      </c>
      <c r="B12" s="18" t="n">
        <v>216384.38</v>
      </c>
      <c r="C12" s="18" t="n">
        <v>226773.21</v>
      </c>
      <c r="D12" s="18" t="n">
        <v>318006</v>
      </c>
      <c r="E12" s="18" t="n">
        <v>315258.88</v>
      </c>
      <c r="F12" s="18" t="n">
        <v>309620.98</v>
      </c>
      <c r="G12" s="18" t="n">
        <v>366849.54</v>
      </c>
      <c r="H12" s="18" t="n">
        <f aca="false">SUM(B12:G12)</f>
        <v>1752892.99</v>
      </c>
    </row>
    <row r="13" customFormat="false" ht="15" hidden="false" customHeight="false" outlineLevel="0" collapsed="false">
      <c r="A13" s="24" t="s">
        <v>51</v>
      </c>
      <c r="B13" s="25" t="n">
        <v>30997.14</v>
      </c>
      <c r="C13" s="25" t="n">
        <v>74244.67</v>
      </c>
      <c r="D13" s="25" t="n">
        <v>98274.64</v>
      </c>
      <c r="E13" s="25" t="n">
        <v>107916.27</v>
      </c>
      <c r="F13" s="25" t="n">
        <v>139326.94</v>
      </c>
      <c r="G13" s="25" t="n">
        <v>147890.2</v>
      </c>
      <c r="H13" s="25" t="n">
        <f aca="false">SUM(B13:G13)</f>
        <v>598649.86</v>
      </c>
    </row>
    <row r="14" customFormat="false" ht="15" hidden="false" customHeight="false" outlineLevel="0" collapsed="false">
      <c r="A14" s="26" t="s">
        <v>52</v>
      </c>
      <c r="B14" s="27" t="n">
        <v>28766.27</v>
      </c>
      <c r="C14" s="27" t="n">
        <v>0</v>
      </c>
      <c r="D14" s="27" t="n">
        <v>0</v>
      </c>
      <c r="E14" s="27" t="n">
        <v>0</v>
      </c>
      <c r="F14" s="27" t="n">
        <v>0</v>
      </c>
      <c r="G14" s="27" t="n">
        <v>0</v>
      </c>
      <c r="H14" s="27" t="n">
        <f aca="false">SUM(B14:G14)</f>
        <v>28766.27</v>
      </c>
    </row>
    <row r="15" customFormat="false" ht="15" hidden="false" customHeight="false" outlineLevel="0" collapsed="false">
      <c r="A15" s="24" t="s">
        <v>53</v>
      </c>
      <c r="B15" s="25" t="n">
        <v>1806.19</v>
      </c>
      <c r="C15" s="25" t="n">
        <v>1725.04</v>
      </c>
      <c r="D15" s="25" t="n">
        <v>1761.99</v>
      </c>
      <c r="E15" s="25" t="n">
        <v>2079.69</v>
      </c>
      <c r="F15" s="25" t="n">
        <v>3832.18</v>
      </c>
      <c r="G15" s="25" t="n">
        <v>4145.76</v>
      </c>
      <c r="H15" s="25" t="n">
        <f aca="false">SUM(B15:G15)</f>
        <v>15350.85</v>
      </c>
    </row>
    <row r="16" customFormat="false" ht="15" hidden="false" customHeight="false" outlineLevel="0" collapsed="false">
      <c r="A16" s="26" t="s">
        <v>54</v>
      </c>
      <c r="B16" s="27" t="n">
        <v>2152.58</v>
      </c>
      <c r="C16" s="27" t="n">
        <v>5695.54</v>
      </c>
      <c r="D16" s="27" t="n">
        <v>7595.7</v>
      </c>
      <c r="E16" s="27" t="n">
        <v>8101.99</v>
      </c>
      <c r="F16" s="27" t="n">
        <v>10711.97</v>
      </c>
      <c r="G16" s="27" t="n">
        <v>11436.95</v>
      </c>
      <c r="H16" s="27" t="n">
        <f aca="false">SUM(B16:G16)</f>
        <v>45694.73</v>
      </c>
    </row>
    <row r="17" customFormat="false" ht="15" hidden="false" customHeight="false" outlineLevel="0" collapsed="false">
      <c r="A17" s="24" t="s">
        <v>55</v>
      </c>
      <c r="B17" s="25" t="n">
        <v>9834.58</v>
      </c>
      <c r="C17" s="25" t="n">
        <v>23533.96</v>
      </c>
      <c r="D17" s="25" t="n">
        <v>22021.82</v>
      </c>
      <c r="E17" s="25" t="n">
        <v>29956.66</v>
      </c>
      <c r="F17" s="25" t="n">
        <v>33370.92</v>
      </c>
      <c r="G17" s="25" t="n">
        <v>52017.71</v>
      </c>
      <c r="H17" s="25" t="n">
        <f aca="false">SUM(B17:G17)</f>
        <v>170735.65</v>
      </c>
    </row>
    <row r="18" customFormat="false" ht="15" hidden="false" customHeight="false" outlineLevel="0" collapsed="false">
      <c r="A18" s="26" t="s">
        <v>56</v>
      </c>
      <c r="B18" s="27" t="n">
        <v>599.29</v>
      </c>
      <c r="C18" s="27" t="n">
        <v>0</v>
      </c>
      <c r="D18" s="27" t="n">
        <v>314.97</v>
      </c>
      <c r="E18" s="27" t="n">
        <v>2780.34</v>
      </c>
      <c r="F18" s="27" t="n">
        <v>2879.11</v>
      </c>
      <c r="G18" s="27" t="n">
        <v>1834.3</v>
      </c>
      <c r="H18" s="27" t="n">
        <f aca="false">SUM(B18:G18)</f>
        <v>8408.01</v>
      </c>
    </row>
    <row r="19" customFormat="false" ht="15" hidden="false" customHeight="false" outlineLevel="0" collapsed="false">
      <c r="A19" s="24" t="s">
        <v>57</v>
      </c>
      <c r="B19" s="25" t="n">
        <v>43.45</v>
      </c>
      <c r="C19" s="25" t="n">
        <v>0</v>
      </c>
      <c r="D19" s="25" t="n">
        <v>330.91</v>
      </c>
      <c r="E19" s="25" t="n">
        <v>245.44</v>
      </c>
      <c r="F19" s="25" t="n">
        <v>559.46</v>
      </c>
      <c r="G19" s="25" t="n">
        <v>1586.64</v>
      </c>
      <c r="H19" s="25" t="n">
        <f aca="false">SUM(B19:G19)</f>
        <v>2765.9</v>
      </c>
    </row>
    <row r="20" customFormat="false" ht="15" hidden="false" customHeight="false" outlineLevel="0" collapsed="false">
      <c r="A20" s="26" t="s">
        <v>58</v>
      </c>
      <c r="B20" s="27" t="n">
        <v>1257.85</v>
      </c>
      <c r="C20" s="27" t="n">
        <v>1283.04</v>
      </c>
      <c r="D20" s="27" t="n">
        <v>1098.75</v>
      </c>
      <c r="E20" s="27" t="n">
        <v>2306.94</v>
      </c>
      <c r="F20" s="27" t="n">
        <v>1967.25</v>
      </c>
      <c r="G20" s="27" t="n">
        <v>649.45</v>
      </c>
      <c r="H20" s="27" t="n">
        <f aca="false">SUM(B20:G20)</f>
        <v>8563.28</v>
      </c>
    </row>
    <row r="21" customFormat="false" ht="15" hidden="false" customHeight="false" outlineLevel="0" collapsed="false">
      <c r="A21" s="24" t="s">
        <v>59</v>
      </c>
      <c r="B21" s="25" t="n">
        <v>168.47</v>
      </c>
      <c r="C21" s="25" t="n">
        <v>174.98</v>
      </c>
      <c r="D21" s="25" t="n">
        <v>111.36</v>
      </c>
      <c r="E21" s="25" t="n">
        <v>150.69</v>
      </c>
      <c r="F21" s="25" t="n">
        <v>480.07</v>
      </c>
      <c r="G21" s="25" t="n">
        <v>1737.81</v>
      </c>
      <c r="H21" s="25" t="n">
        <f aca="false">SUM(B21:G21)</f>
        <v>2823.38</v>
      </c>
    </row>
    <row r="22" customFormat="false" ht="15" hidden="false" customHeight="false" outlineLevel="0" collapsed="false">
      <c r="A22" s="26" t="s">
        <v>60</v>
      </c>
      <c r="B22" s="27" t="n">
        <v>27469.03</v>
      </c>
      <c r="C22" s="27" t="n">
        <v>26734.76</v>
      </c>
      <c r="D22" s="27" t="n">
        <v>29169.56</v>
      </c>
      <c r="E22" s="27" t="n">
        <v>31712.59</v>
      </c>
      <c r="F22" s="27" t="n">
        <v>33835.72</v>
      </c>
      <c r="G22" s="27" t="n">
        <v>39713.18</v>
      </c>
      <c r="H22" s="27" t="n">
        <f aca="false">SUM(B22:G22)</f>
        <v>188634.84</v>
      </c>
    </row>
    <row r="23" customFormat="false" ht="15" hidden="false" customHeight="false" outlineLevel="0" collapsed="false">
      <c r="A23" s="24" t="s">
        <v>61</v>
      </c>
      <c r="B23" s="25" t="n">
        <v>18852.76</v>
      </c>
      <c r="C23" s="25" t="n">
        <v>19960.13</v>
      </c>
      <c r="D23" s="25" t="n">
        <v>19250.79</v>
      </c>
      <c r="E23" s="25" t="n">
        <v>37366.86</v>
      </c>
      <c r="F23" s="25" t="n">
        <v>28684.76</v>
      </c>
      <c r="G23" s="25" t="n">
        <v>34404.38</v>
      </c>
      <c r="H23" s="25" t="n">
        <f aca="false">SUM(B23:G23)</f>
        <v>158519.68</v>
      </c>
    </row>
    <row r="24" customFormat="false" ht="15" hidden="false" customHeight="false" outlineLevel="0" collapsed="false">
      <c r="A24" s="26" t="s">
        <v>62</v>
      </c>
      <c r="B24" s="27" t="n">
        <v>6943.62</v>
      </c>
      <c r="C24" s="27" t="n">
        <v>7683.6</v>
      </c>
      <c r="D24" s="27" t="n">
        <v>10052.82</v>
      </c>
      <c r="E24" s="27" t="n">
        <v>20491.04</v>
      </c>
      <c r="F24" s="27" t="n">
        <v>36201.32</v>
      </c>
      <c r="G24" s="27" t="n">
        <v>31714.02</v>
      </c>
      <c r="H24" s="27" t="n">
        <f aca="false">SUM(B24:G24)</f>
        <v>113086.42</v>
      </c>
    </row>
    <row r="25" customFormat="false" ht="15" hidden="false" customHeight="false" outlineLevel="0" collapsed="false">
      <c r="A25" s="24" t="s">
        <v>63</v>
      </c>
      <c r="B25" s="25" t="n">
        <v>1737.88</v>
      </c>
      <c r="C25" s="25" t="n">
        <v>1636.75</v>
      </c>
      <c r="D25" s="25" t="n">
        <v>1714.22</v>
      </c>
      <c r="E25" s="25" t="n">
        <v>1461.2</v>
      </c>
      <c r="F25" s="25" t="n">
        <v>1526.55</v>
      </c>
      <c r="G25" s="25" t="n">
        <v>2007.37</v>
      </c>
      <c r="H25" s="25" t="n">
        <f aca="false">SUM(B25:G25)</f>
        <v>10083.97</v>
      </c>
    </row>
    <row r="26" customFormat="false" ht="15" hidden="false" customHeight="false" outlineLevel="0" collapsed="false">
      <c r="A26" s="26" t="s">
        <v>64</v>
      </c>
      <c r="B26" s="27" t="n">
        <v>1372.85</v>
      </c>
      <c r="C26" s="27" t="n">
        <v>1207.91</v>
      </c>
      <c r="D26" s="27" t="n">
        <v>1461.02</v>
      </c>
      <c r="E26" s="27" t="n">
        <v>1397.8</v>
      </c>
      <c r="F26" s="27" t="n">
        <v>1491.39</v>
      </c>
      <c r="G26" s="27" t="n">
        <v>1504.87</v>
      </c>
      <c r="H26" s="27" t="n">
        <f aca="false">SUM(B26:G26)</f>
        <v>8435.84</v>
      </c>
    </row>
    <row r="27" customFormat="false" ht="15" hidden="false" customHeight="false" outlineLevel="0" collapsed="false">
      <c r="A27" s="24" t="s">
        <v>65</v>
      </c>
      <c r="B27" s="25" t="n">
        <v>3562.34</v>
      </c>
      <c r="C27" s="25" t="n">
        <v>2379.08</v>
      </c>
      <c r="D27" s="25" t="n">
        <v>2054.58</v>
      </c>
      <c r="E27" s="25" t="n">
        <v>3867.98</v>
      </c>
      <c r="F27" s="25" t="n">
        <v>608.99</v>
      </c>
      <c r="G27" s="25" t="n">
        <v>409.67</v>
      </c>
      <c r="H27" s="25" t="n">
        <f aca="false">SUM(B27:G27)</f>
        <v>12882.64</v>
      </c>
    </row>
    <row r="28" customFormat="false" ht="15" hidden="false" customHeight="false" outlineLevel="0" collapsed="false">
      <c r="A28" s="26" t="s">
        <v>66</v>
      </c>
      <c r="B28" s="27" t="n">
        <v>61707.74</v>
      </c>
      <c r="C28" s="27" t="n">
        <v>47296.39</v>
      </c>
      <c r="D28" s="27" t="n">
        <v>97628.45</v>
      </c>
      <c r="E28" s="27" t="n">
        <v>37019.08</v>
      </c>
      <c r="F28" s="27" t="n">
        <v>0</v>
      </c>
      <c r="G28" s="27" t="n">
        <v>0</v>
      </c>
      <c r="H28" s="27" t="n">
        <f aca="false">SUM(B28:G28)</f>
        <v>243651.66</v>
      </c>
    </row>
    <row r="29" customFormat="false" ht="15" hidden="false" customHeight="false" outlineLevel="0" collapsed="false">
      <c r="A29" s="24" t="s">
        <v>67</v>
      </c>
      <c r="B29" s="25" t="n">
        <v>0</v>
      </c>
      <c r="C29" s="25" t="n">
        <v>0</v>
      </c>
      <c r="D29" s="25" t="n">
        <v>0</v>
      </c>
      <c r="E29" s="25" t="n">
        <v>0</v>
      </c>
      <c r="F29" s="25" t="n">
        <v>0</v>
      </c>
      <c r="G29" s="25" t="n">
        <v>0</v>
      </c>
      <c r="H29" s="25" t="n">
        <f aca="false">SUM(B29:G29)</f>
        <v>0</v>
      </c>
    </row>
    <row r="30" customFormat="false" ht="15" hidden="false" customHeight="false" outlineLevel="0" collapsed="false">
      <c r="A30" s="26" t="s">
        <v>68</v>
      </c>
      <c r="B30" s="27" t="n">
        <v>1573.08</v>
      </c>
      <c r="C30" s="27" t="n">
        <v>1531.03</v>
      </c>
      <c r="D30" s="27" t="n">
        <v>1670.47</v>
      </c>
      <c r="E30" s="27" t="n">
        <v>1598.19</v>
      </c>
      <c r="F30" s="27" t="n">
        <v>1705.18</v>
      </c>
      <c r="G30" s="27" t="n">
        <v>1720.6</v>
      </c>
      <c r="H30" s="27" t="n">
        <f aca="false">SUM(B30:G30)</f>
        <v>9798.55</v>
      </c>
    </row>
    <row r="31" customFormat="false" ht="15" hidden="false" customHeight="false" outlineLevel="0" collapsed="false">
      <c r="A31" s="24" t="s">
        <v>69</v>
      </c>
      <c r="B31" s="25" t="n">
        <v>677.64</v>
      </c>
      <c r="C31" s="25" t="n">
        <v>280.14</v>
      </c>
      <c r="D31" s="25" t="n">
        <v>974.71</v>
      </c>
      <c r="E31" s="25" t="n">
        <v>1378.71</v>
      </c>
      <c r="F31" s="25" t="n">
        <v>924.4</v>
      </c>
      <c r="G31" s="25" t="n">
        <v>1099.03</v>
      </c>
      <c r="H31" s="25" t="n">
        <f aca="false">SUM(B31:G31)</f>
        <v>5334.63</v>
      </c>
    </row>
    <row r="32" customFormat="false" ht="15" hidden="false" customHeight="false" outlineLevel="0" collapsed="false">
      <c r="A32" s="26" t="s">
        <v>70</v>
      </c>
      <c r="B32" s="27" t="n">
        <v>170.7</v>
      </c>
      <c r="C32" s="27" t="n">
        <v>450.1</v>
      </c>
      <c r="D32" s="27" t="n">
        <v>680.85</v>
      </c>
      <c r="E32" s="27" t="n">
        <v>508.02</v>
      </c>
      <c r="F32" s="27" t="n">
        <v>834.35</v>
      </c>
      <c r="G32" s="27" t="n">
        <v>557.71</v>
      </c>
      <c r="H32" s="27" t="n">
        <f aca="false">SUM(B32:G32)</f>
        <v>3201.73</v>
      </c>
    </row>
    <row r="33" customFormat="false" ht="15" hidden="false" customHeight="false" outlineLevel="0" collapsed="false">
      <c r="A33" s="24" t="s">
        <v>71</v>
      </c>
      <c r="B33" s="25" t="n">
        <v>165.62</v>
      </c>
      <c r="C33" s="25" t="n">
        <v>0</v>
      </c>
      <c r="D33" s="25" t="n">
        <v>359.55</v>
      </c>
      <c r="E33" s="25" t="n">
        <v>53.27</v>
      </c>
      <c r="F33" s="25" t="n">
        <v>0</v>
      </c>
      <c r="G33" s="25" t="n">
        <v>32.77</v>
      </c>
      <c r="H33" s="25" t="n">
        <f aca="false">SUM(B33:G33)</f>
        <v>611.21</v>
      </c>
    </row>
    <row r="34" customFormat="false" ht="15" hidden="false" customHeight="false" outlineLevel="0" collapsed="false">
      <c r="A34" s="26" t="s">
        <v>72</v>
      </c>
      <c r="B34" s="27" t="n">
        <v>955.9</v>
      </c>
      <c r="C34" s="27" t="n">
        <v>828.54</v>
      </c>
      <c r="D34" s="27" t="n">
        <v>2775.01</v>
      </c>
      <c r="E34" s="27" t="n">
        <v>2440.34</v>
      </c>
      <c r="F34" s="27" t="n">
        <v>1472.35</v>
      </c>
      <c r="G34" s="27" t="n">
        <v>3242.54</v>
      </c>
      <c r="H34" s="27" t="n">
        <f aca="false">SUM(B34:G34)</f>
        <v>11714.68</v>
      </c>
    </row>
    <row r="35" customFormat="false" ht="15" hidden="false" customHeight="false" outlineLevel="0" collapsed="false">
      <c r="A35" s="24" t="s">
        <v>73</v>
      </c>
      <c r="B35" s="25" t="n">
        <v>1154.85</v>
      </c>
      <c r="C35" s="25" t="n">
        <v>951.36</v>
      </c>
      <c r="D35" s="25" t="n">
        <v>2153.61</v>
      </c>
      <c r="E35" s="25" t="n">
        <v>4119.27</v>
      </c>
      <c r="F35" s="25" t="n">
        <v>758.88</v>
      </c>
      <c r="G35" s="25" t="n">
        <v>4269.03</v>
      </c>
      <c r="H35" s="25" t="n">
        <f aca="false">SUM(B35:G35)</f>
        <v>13407</v>
      </c>
    </row>
    <row r="36" customFormat="false" ht="15" hidden="false" customHeight="false" outlineLevel="0" collapsed="false">
      <c r="A36" s="26" t="s">
        <v>74</v>
      </c>
      <c r="B36" s="27" t="n">
        <v>0</v>
      </c>
      <c r="C36" s="27" t="n">
        <v>3645.32</v>
      </c>
      <c r="D36" s="27" t="n">
        <v>6443.08</v>
      </c>
      <c r="E36" s="27" t="n">
        <v>12009.23</v>
      </c>
      <c r="F36" s="27" t="n">
        <v>1948.78</v>
      </c>
      <c r="G36" s="27" t="n">
        <v>8824.42</v>
      </c>
      <c r="H36" s="27" t="n">
        <f aca="false">SUM(B36:G36)</f>
        <v>32870.83</v>
      </c>
    </row>
    <row r="37" customFormat="false" ht="15" hidden="false" customHeight="false" outlineLevel="0" collapsed="false">
      <c r="A37" s="24" t="s">
        <v>75</v>
      </c>
      <c r="B37" s="25" t="n">
        <v>157.17</v>
      </c>
      <c r="C37" s="25" t="n">
        <v>152.97</v>
      </c>
      <c r="D37" s="25" t="n">
        <v>166.9</v>
      </c>
      <c r="E37" s="25" t="n">
        <v>159.68</v>
      </c>
      <c r="F37" s="25" t="n">
        <v>170.37</v>
      </c>
      <c r="G37" s="25" t="n">
        <v>171.91</v>
      </c>
      <c r="H37" s="25" t="n">
        <f aca="false">SUM(B37:G37)</f>
        <v>979</v>
      </c>
    </row>
    <row r="38" customFormat="false" ht="15" hidden="false" customHeight="false" outlineLevel="0" collapsed="false">
      <c r="A38" s="26" t="s">
        <v>76</v>
      </c>
      <c r="B38" s="27" t="n">
        <v>12661.83</v>
      </c>
      <c r="C38" s="27" t="n">
        <v>3752.11</v>
      </c>
      <c r="D38" s="27" t="n">
        <v>5175.41</v>
      </c>
      <c r="E38" s="27" t="n">
        <v>3854.48</v>
      </c>
      <c r="F38" s="27" t="n">
        <v>4673.58</v>
      </c>
      <c r="G38" s="27" t="n">
        <v>7849.71</v>
      </c>
      <c r="H38" s="27" t="n">
        <f aca="false">SUM(B38:G38)</f>
        <v>37967.12</v>
      </c>
    </row>
    <row r="39" customFormat="false" ht="15" hidden="false" customHeight="false" outlineLevel="0" collapsed="false">
      <c r="A39" s="17" t="s">
        <v>16</v>
      </c>
      <c r="B39" s="18" t="n">
        <v>77856.86</v>
      </c>
      <c r="C39" s="18" t="n">
        <v>143639.64</v>
      </c>
      <c r="D39" s="18" t="n">
        <v>-549891.19</v>
      </c>
      <c r="E39" s="18" t="n">
        <v>33953.4</v>
      </c>
      <c r="F39" s="18" t="n">
        <v>175474.45</v>
      </c>
      <c r="G39" s="18" t="n">
        <v>-36026.45</v>
      </c>
      <c r="H39" s="18" t="n">
        <f aca="false">SUM(B39:G39)</f>
        <v>-154993.29</v>
      </c>
    </row>
    <row r="40" customFormat="false" ht="15" hidden="false" customHeight="false" outlineLevel="0" collapsed="false">
      <c r="A40" s="17" t="s">
        <v>17</v>
      </c>
      <c r="B40" s="18" t="n">
        <v>-1533.46</v>
      </c>
      <c r="C40" s="18" t="n">
        <v>14065.68</v>
      </c>
      <c r="D40" s="18" t="n">
        <v>12557.96</v>
      </c>
      <c r="E40" s="18" t="n">
        <v>19758.27</v>
      </c>
      <c r="F40" s="18" t="n">
        <v>-27239.72</v>
      </c>
      <c r="G40" s="18" t="n">
        <v>-80789.98</v>
      </c>
      <c r="H40" s="18" t="n">
        <f aca="false">SUM(B40:G40)</f>
        <v>-63181.25</v>
      </c>
    </row>
    <row r="41" customFormat="false" ht="15" hidden="false" customHeight="false" outlineLevel="0" collapsed="false">
      <c r="A41" s="24" t="s">
        <v>77</v>
      </c>
      <c r="B41" s="25" t="n">
        <v>0</v>
      </c>
      <c r="C41" s="25" t="n">
        <v>26717.26</v>
      </c>
      <c r="D41" s="25" t="n">
        <v>24848.02</v>
      </c>
      <c r="E41" s="25" t="n">
        <v>23464.43</v>
      </c>
      <c r="F41" s="25" t="n">
        <v>18541.18</v>
      </c>
      <c r="G41" s="25" t="n">
        <v>2513.7</v>
      </c>
      <c r="H41" s="25" t="n">
        <f aca="false">SUM(B41:G41)</f>
        <v>96084.59</v>
      </c>
    </row>
    <row r="42" customFormat="false" ht="15" hidden="false" customHeight="false" outlineLevel="0" collapsed="false">
      <c r="A42" s="26" t="s">
        <v>78</v>
      </c>
      <c r="B42" s="27" t="n">
        <v>1087.59</v>
      </c>
      <c r="C42" s="27" t="n">
        <v>2210.67</v>
      </c>
      <c r="D42" s="27" t="n">
        <v>878.67</v>
      </c>
      <c r="E42" s="27" t="n">
        <v>1280.15</v>
      </c>
      <c r="F42" s="27" t="n">
        <v>263.74</v>
      </c>
      <c r="G42" s="27" t="n">
        <v>437.12</v>
      </c>
      <c r="H42" s="27" t="n">
        <f aca="false">SUM(B42:G42)</f>
        <v>6157.94</v>
      </c>
    </row>
    <row r="43" customFormat="false" ht="15" hidden="false" customHeight="false" outlineLevel="0" collapsed="false">
      <c r="A43" s="24" t="s">
        <v>79</v>
      </c>
      <c r="B43" s="25" t="n">
        <v>3.7</v>
      </c>
      <c r="C43" s="25" t="n">
        <v>35.83</v>
      </c>
      <c r="D43" s="25" t="n">
        <v>21.19</v>
      </c>
      <c r="E43" s="25" t="n">
        <v>130.21</v>
      </c>
      <c r="F43" s="25" t="n">
        <v>423.5</v>
      </c>
      <c r="G43" s="25" t="n">
        <v>1.93</v>
      </c>
      <c r="H43" s="25" t="n">
        <f aca="false">SUM(B43:G43)</f>
        <v>616.36</v>
      </c>
    </row>
    <row r="44" customFormat="false" ht="15" hidden="false" customHeight="false" outlineLevel="0" collapsed="false">
      <c r="A44" s="26" t="s">
        <v>80</v>
      </c>
      <c r="B44" s="27" t="n">
        <v>0</v>
      </c>
      <c r="C44" s="27" t="n">
        <v>0</v>
      </c>
      <c r="D44" s="27" t="n">
        <v>0</v>
      </c>
      <c r="E44" s="27" t="n">
        <v>0</v>
      </c>
      <c r="F44" s="27" t="n">
        <v>0</v>
      </c>
      <c r="G44" s="27" t="n">
        <v>0</v>
      </c>
      <c r="H44" s="27" t="n">
        <f aca="false">SUM(B44:G44)</f>
        <v>0</v>
      </c>
    </row>
    <row r="45" customFormat="false" ht="15" hidden="false" customHeight="false" outlineLevel="0" collapsed="false">
      <c r="A45" s="24" t="s">
        <v>81</v>
      </c>
      <c r="B45" s="25" t="n">
        <v>2624.76</v>
      </c>
      <c r="C45" s="25" t="n">
        <v>14898.09</v>
      </c>
      <c r="D45" s="25" t="n">
        <v>13189.92</v>
      </c>
      <c r="E45" s="25" t="n">
        <v>5116.52</v>
      </c>
      <c r="F45" s="25" t="n">
        <v>46468.15</v>
      </c>
      <c r="G45" s="25" t="n">
        <v>83742.74</v>
      </c>
      <c r="H45" s="25" t="n">
        <f aca="false">SUM(B45:G45)</f>
        <v>166040.18</v>
      </c>
    </row>
    <row r="46" customFormat="false" ht="15" hidden="false" customHeight="false" outlineLevel="0" collapsed="false">
      <c r="A46" s="17" t="s">
        <v>82</v>
      </c>
      <c r="B46" s="18" t="n">
        <v>76323.39</v>
      </c>
      <c r="C46" s="18" t="n">
        <v>157705.32</v>
      </c>
      <c r="D46" s="18" t="n">
        <v>-537333.23</v>
      </c>
      <c r="E46" s="18" t="n">
        <v>53711.67</v>
      </c>
      <c r="F46" s="18" t="n">
        <v>148234.72</v>
      </c>
      <c r="G46" s="18" t="n">
        <v>-116816.43</v>
      </c>
      <c r="H46" s="18" t="n">
        <f aca="false">SUM(B46:G46)</f>
        <v>-218174.56</v>
      </c>
    </row>
    <row r="47" customFormat="false" ht="15" hidden="false" customHeight="false" outlineLevel="0" collapsed="false">
      <c r="A47" s="24" t="s">
        <v>83</v>
      </c>
      <c r="B47" s="25" t="n">
        <v>0</v>
      </c>
      <c r="C47" s="25" t="n">
        <v>0</v>
      </c>
      <c r="D47" s="25" t="n">
        <v>0</v>
      </c>
      <c r="E47" s="25" t="n">
        <v>0</v>
      </c>
      <c r="F47" s="25" t="n">
        <v>0</v>
      </c>
      <c r="G47" s="25" t="n">
        <v>0</v>
      </c>
      <c r="H47" s="25" t="n">
        <f aca="false">SUM(B47:G47)</f>
        <v>0</v>
      </c>
    </row>
    <row r="48" customFormat="false" ht="15" hidden="false" customHeight="false" outlineLevel="0" collapsed="false">
      <c r="A48" s="11" t="s">
        <v>18</v>
      </c>
      <c r="B48" s="28" t="n">
        <v>76323.39</v>
      </c>
      <c r="C48" s="28" t="n">
        <v>157705.32</v>
      </c>
      <c r="D48" s="28" t="n">
        <v>-537333.23</v>
      </c>
      <c r="E48" s="28" t="n">
        <v>53711.67</v>
      </c>
      <c r="F48" s="28" t="n">
        <v>148234.72</v>
      </c>
      <c r="G48" s="28" t="n">
        <v>-116816.43</v>
      </c>
      <c r="H48" s="28" t="n">
        <f aca="false">SUM(B48:G48)</f>
        <v>-218174.56</v>
      </c>
    </row>
    <row r="50" customFormat="false" ht="15" hidden="false" customHeight="false" outlineLevel="0" collapsed="false">
      <c r="A50" s="3" t="s">
        <v>84</v>
      </c>
      <c r="B50" s="3"/>
      <c r="C50" s="3"/>
      <c r="D50" s="3"/>
      <c r="E50" s="3"/>
      <c r="F50" s="3"/>
      <c r="G50" s="3"/>
      <c r="H50" s="3"/>
    </row>
    <row r="51" customFormat="false" ht="15" hidden="false" customHeight="false" outlineLevel="0" collapsed="false">
      <c r="A51" s="22" t="s">
        <v>3</v>
      </c>
      <c r="B51" s="23" t="s">
        <v>4</v>
      </c>
      <c r="C51" s="23" t="s">
        <v>5</v>
      </c>
      <c r="D51" s="23" t="s">
        <v>6</v>
      </c>
      <c r="E51" s="23" t="s">
        <v>7</v>
      </c>
      <c r="F51" s="23" t="s">
        <v>8</v>
      </c>
      <c r="G51" s="23" t="s">
        <v>9</v>
      </c>
      <c r="H51" s="23" t="s">
        <v>10</v>
      </c>
    </row>
    <row r="52" customFormat="false" ht="15" hidden="false" customHeight="false" outlineLevel="0" collapsed="false">
      <c r="A52" s="17" t="s">
        <v>12</v>
      </c>
      <c r="B52" s="19" t="n">
        <f aca="false">IF(B$4=0,0,B4/B$4)</f>
        <v>1</v>
      </c>
      <c r="C52" s="19" t="n">
        <f aca="false">IF(C$4=0,0,C4/C$4)</f>
        <v>1</v>
      </c>
      <c r="D52" s="19" t="n">
        <f aca="false">IF(D$4=0,0,D4/D$4)</f>
        <v>1</v>
      </c>
      <c r="E52" s="19" t="n">
        <f aca="false">IF(E$4=0,0,E4/E$4)</f>
        <v>1</v>
      </c>
      <c r="F52" s="19" t="n">
        <f aca="false">IF(F$4=0,0,F4/F$4)</f>
        <v>1</v>
      </c>
      <c r="G52" s="19" t="n">
        <f aca="false">IF(G$4=0,0,G4/G$4)</f>
        <v>1</v>
      </c>
      <c r="H52" s="19" t="n">
        <f aca="false">IF(H$4=0,0,H4/H$4)</f>
        <v>1</v>
      </c>
    </row>
    <row r="53" customFormat="false" ht="15" hidden="false" customHeight="false" outlineLevel="0" collapsed="false">
      <c r="A53" s="24" t="s">
        <v>28</v>
      </c>
      <c r="B53" s="29" t="n">
        <f aca="false">IF(B$4=0,0,B5/B$4)</f>
        <v>1.02659860978732</v>
      </c>
      <c r="C53" s="29" t="n">
        <f aca="false">IF(C$4=0,0,C5/C$4)</f>
        <v>1.05840767695185</v>
      </c>
      <c r="D53" s="29" t="n">
        <f aca="false">IF(D$4=0,0,D5/D$4)</f>
        <v>1.01536900299293</v>
      </c>
      <c r="E53" s="29" t="n">
        <f aca="false">IF(E$4=0,0,E5/E$4)</f>
        <v>1.00204226224786</v>
      </c>
      <c r="F53" s="29" t="n">
        <f aca="false">IF(F$4=0,0,F5/F$4)</f>
        <v>1.00585912576068</v>
      </c>
      <c r="G53" s="29" t="n">
        <f aca="false">IF(G$4=0,0,G5/G$4)</f>
        <v>1.01127945182478</v>
      </c>
      <c r="H53" s="29" t="n">
        <f aca="false">IF(H$4=0,0,H5/H$4)</f>
        <v>1.01528126705577</v>
      </c>
    </row>
    <row r="54" customFormat="false" ht="15" hidden="false" customHeight="false" outlineLevel="0" collapsed="false">
      <c r="A54" s="26" t="s">
        <v>40</v>
      </c>
      <c r="B54" s="30" t="n">
        <f aca="false">IF(B$4=0,0,B6/B$4)</f>
        <v>-0.0265986097873235</v>
      </c>
      <c r="C54" s="30" t="n">
        <f aca="false">IF(C$4=0,0,C6/C$4)</f>
        <v>-0.0584076769518483</v>
      </c>
      <c r="D54" s="30" t="n">
        <f aca="false">IF(D$4=0,0,D6/D$4)</f>
        <v>-0.0153690029929307</v>
      </c>
      <c r="E54" s="30" t="n">
        <f aca="false">IF(E$4=0,0,E6/E$4)</f>
        <v>-0.00204226224786218</v>
      </c>
      <c r="F54" s="30" t="n">
        <f aca="false">IF(F$4=0,0,F6/F$4)</f>
        <v>-0.00585912576068344</v>
      </c>
      <c r="G54" s="30" t="n">
        <f aca="false">IF(G$4=0,0,G6/G$4)</f>
        <v>-0.0112794518247761</v>
      </c>
      <c r="H54" s="30" t="n">
        <f aca="false">IF(H$4=0,0,H6/H$4)</f>
        <v>-0.0152812670557708</v>
      </c>
    </row>
    <row r="55" customFormat="false" ht="15" hidden="false" customHeight="false" outlineLevel="0" collapsed="false">
      <c r="A55" s="17" t="s">
        <v>13</v>
      </c>
      <c r="B55" s="19" t="n">
        <f aca="false">IF(B$4=0,0,B7/B$4)</f>
        <v>0.906844502033898</v>
      </c>
      <c r="C55" s="19" t="n">
        <f aca="false">IF(C$4=0,0,C7/C$4)</f>
        <v>0.874657971777947</v>
      </c>
      <c r="D55" s="19" t="n">
        <f aca="false">IF(D$4=0,0,D7/D$4)</f>
        <v>1.04233151586268</v>
      </c>
      <c r="E55" s="19" t="n">
        <f aca="false">IF(E$4=0,0,E7/E$4)</f>
        <v>0.919440286920723</v>
      </c>
      <c r="F55" s="19" t="n">
        <f aca="false">IF(F$4=0,0,F7/F$4)</f>
        <v>0.93870658452254</v>
      </c>
      <c r="G55" s="19" t="n">
        <f aca="false">IF(G$4=0,0,G7/G$4)</f>
        <v>0.958259083564444</v>
      </c>
      <c r="H55" s="19" t="n">
        <f aca="false">IF(H$4=0,0,H7/H$4)</f>
        <v>0.949698479378954</v>
      </c>
    </row>
    <row r="56" customFormat="false" ht="15" hidden="false" customHeight="false" outlineLevel="0" collapsed="false">
      <c r="A56" s="26" t="s">
        <v>41</v>
      </c>
      <c r="B56" s="30" t="n">
        <f aca="false">IF(B$4=0,0,B8/B$4)</f>
        <v>0.918241945596804</v>
      </c>
      <c r="C56" s="30" t="n">
        <f aca="false">IF(C$4=0,0,C8/C$4)</f>
        <v>0.968395176819286</v>
      </c>
      <c r="D56" s="30" t="n">
        <f aca="false">IF(D$4=0,0,D8/D$4)</f>
        <v>1.04578178213369</v>
      </c>
      <c r="E56" s="30" t="n">
        <f aca="false">IF(E$4=0,0,E8/E$4)</f>
        <v>0.962037159573909</v>
      </c>
      <c r="F56" s="30" t="n">
        <f aca="false">IF(F$4=0,0,F8/F$4)</f>
        <v>0.941986716569538</v>
      </c>
      <c r="G56" s="30" t="n">
        <f aca="false">IF(G$4=0,0,G8/G$4)</f>
        <v>0.958259083564444</v>
      </c>
      <c r="H56" s="30" t="n">
        <f aca="false">IF(H$4=0,0,H8/H$4)</f>
        <v>0.966777004143701</v>
      </c>
    </row>
    <row r="57" customFormat="false" ht="15" hidden="false" customHeight="false" outlineLevel="0" collapsed="false">
      <c r="A57" s="24" t="s">
        <v>49</v>
      </c>
      <c r="B57" s="29" t="n">
        <f aca="false">IF(B$4=0,0,B9/B$4)</f>
        <v>0</v>
      </c>
      <c r="C57" s="29" t="n">
        <f aca="false">IF(C$4=0,0,C9/C$4)</f>
        <v>0</v>
      </c>
      <c r="D57" s="29" t="n">
        <f aca="false">IF(D$4=0,0,D9/D$4)</f>
        <v>0</v>
      </c>
      <c r="E57" s="29" t="n">
        <f aca="false">IF(E$4=0,0,E9/E$4)</f>
        <v>0</v>
      </c>
      <c r="F57" s="29" t="n">
        <f aca="false">IF(F$4=0,0,F9/F$4)</f>
        <v>0</v>
      </c>
      <c r="G57" s="29" t="n">
        <f aca="false">IF(G$4=0,0,G9/G$4)</f>
        <v>0</v>
      </c>
      <c r="H57" s="29" t="n">
        <f aca="false">IF(H$4=0,0,H9/H$4)</f>
        <v>0</v>
      </c>
    </row>
    <row r="58" customFormat="false" ht="15" hidden="false" customHeight="false" outlineLevel="0" collapsed="false">
      <c r="A58" s="26" t="s">
        <v>50</v>
      </c>
      <c r="B58" s="30" t="n">
        <f aca="false">IF(B$4=0,0,B10/B$4)</f>
        <v>-0.0113974435629067</v>
      </c>
      <c r="C58" s="30" t="n">
        <f aca="false">IF(C$4=0,0,C10/C$4)</f>
        <v>-0.0937372050413387</v>
      </c>
      <c r="D58" s="30" t="n">
        <f aca="false">IF(D$4=0,0,D10/D$4)</f>
        <v>-0.0034502662710135</v>
      </c>
      <c r="E58" s="30" t="n">
        <f aca="false">IF(E$4=0,0,E10/E$4)</f>
        <v>-0.0425968726531854</v>
      </c>
      <c r="F58" s="30" t="n">
        <f aca="false">IF(F$4=0,0,F10/F$4)</f>
        <v>-0.00328013204699712</v>
      </c>
      <c r="G58" s="30" t="n">
        <f aca="false">IF(G$4=0,0,G10/G$4)</f>
        <v>0</v>
      </c>
      <c r="H58" s="30" t="n">
        <f aca="false">IF(H$4=0,0,H10/H$4)</f>
        <v>-0.0170785247647473</v>
      </c>
    </row>
    <row r="59" customFormat="false" ht="15" hidden="false" customHeight="false" outlineLevel="0" collapsed="false">
      <c r="A59" s="17" t="s">
        <v>14</v>
      </c>
      <c r="B59" s="19" t="n">
        <f aca="false">IF(B$4=0,0,B11/B$4)</f>
        <v>0.0931554979661025</v>
      </c>
      <c r="C59" s="19" t="n">
        <f aca="false">IF(C$4=0,0,C11/C$4)</f>
        <v>0.125342028222053</v>
      </c>
      <c r="D59" s="19" t="n">
        <f aca="false">IF(D$4=0,0,D11/D$4)</f>
        <v>-0.0423315158626749</v>
      </c>
      <c r="E59" s="19" t="n">
        <f aca="false">IF(E$4=0,0,E11/E$4)</f>
        <v>0.0805597130792772</v>
      </c>
      <c r="F59" s="19" t="n">
        <f aca="false">IF(F$4=0,0,F11/F$4)</f>
        <v>0.0612934154774595</v>
      </c>
      <c r="G59" s="19" t="n">
        <f aca="false">IF(G$4=0,0,G11/G$4)</f>
        <v>0.0417409164355554</v>
      </c>
      <c r="H59" s="19" t="n">
        <f aca="false">IF(H$4=0,0,H11/H$4)</f>
        <v>0.0503015206210461</v>
      </c>
    </row>
    <row r="60" customFormat="false" ht="15" hidden="false" customHeight="false" outlineLevel="0" collapsed="false">
      <c r="A60" s="17" t="s">
        <v>15</v>
      </c>
      <c r="B60" s="19" t="n">
        <f aca="false">IF(B$4=0,0,B12/B$4)</f>
        <v>0.0685063544151267</v>
      </c>
      <c r="C60" s="19" t="n">
        <f aca="false">IF(C$4=0,0,C12/C$4)</f>
        <v>0.0767365767354601</v>
      </c>
      <c r="D60" s="19" t="n">
        <f aca="false">IF(D$4=0,0,D12/D$4)</f>
        <v>0.05805319448571</v>
      </c>
      <c r="E60" s="19" t="n">
        <f aca="false">IF(E$4=0,0,E12/E$4)</f>
        <v>0.0727270098247813</v>
      </c>
      <c r="F60" s="19" t="n">
        <f aca="false">IF(F$4=0,0,F12/F$4)</f>
        <v>0.0391216370924751</v>
      </c>
      <c r="G60" s="19" t="n">
        <f aca="false">IF(G$4=0,0,G12/G$4)</f>
        <v>0.0462864789563568</v>
      </c>
      <c r="H60" s="19" t="n">
        <f aca="false">IF(H$4=0,0,H12/H$4)</f>
        <v>0.0551806742832308</v>
      </c>
    </row>
    <row r="61" customFormat="false" ht="15" hidden="false" customHeight="false" outlineLevel="0" collapsed="false">
      <c r="A61" s="24" t="s">
        <v>51</v>
      </c>
      <c r="B61" s="29" t="n">
        <f aca="false">IF(B$4=0,0,B13/B$4)</f>
        <v>0.00981355982670884</v>
      </c>
      <c r="C61" s="29" t="n">
        <f aca="false">IF(C$4=0,0,C13/C$4)</f>
        <v>0.0251232577986346</v>
      </c>
      <c r="D61" s="29" t="n">
        <f aca="false">IF(D$4=0,0,D13/D$4)</f>
        <v>0.0179404061210579</v>
      </c>
      <c r="E61" s="29" t="n">
        <f aca="false">IF(E$4=0,0,E13/E$4)</f>
        <v>0.0248951833760995</v>
      </c>
      <c r="F61" s="29" t="n">
        <f aca="false">IF(F$4=0,0,F13/F$4)</f>
        <v>0.017604420681974</v>
      </c>
      <c r="G61" s="29" t="n">
        <f aca="false">IF(G$4=0,0,G13/G$4)</f>
        <v>0.0186597388950015</v>
      </c>
      <c r="H61" s="29" t="n">
        <f aca="false">IF(H$4=0,0,H13/H$4)</f>
        <v>0.0188453619946085</v>
      </c>
    </row>
    <row r="62" customFormat="false" ht="15" hidden="false" customHeight="false" outlineLevel="0" collapsed="false">
      <c r="A62" s="26" t="s">
        <v>52</v>
      </c>
      <c r="B62" s="30" t="n">
        <f aca="false">IF(B$4=0,0,B14/B$4)</f>
        <v>0.00910727607889823</v>
      </c>
      <c r="C62" s="30" t="n">
        <f aca="false">IF(C$4=0,0,C14/C$4)</f>
        <v>0</v>
      </c>
      <c r="D62" s="30" t="n">
        <f aca="false">IF(D$4=0,0,D14/D$4)</f>
        <v>0</v>
      </c>
      <c r="E62" s="30" t="n">
        <f aca="false">IF(E$4=0,0,E14/E$4)</f>
        <v>0</v>
      </c>
      <c r="F62" s="30" t="n">
        <f aca="false">IF(F$4=0,0,F14/F$4)</f>
        <v>0</v>
      </c>
      <c r="G62" s="30" t="n">
        <f aca="false">IF(G$4=0,0,G14/G$4)</f>
        <v>0</v>
      </c>
      <c r="H62" s="30" t="n">
        <f aca="false">IF(H$4=0,0,H14/H$4)</f>
        <v>0.000905555663847725</v>
      </c>
    </row>
    <row r="63" customFormat="false" ht="15" hidden="false" customHeight="false" outlineLevel="0" collapsed="false">
      <c r="A63" s="24" t="s">
        <v>53</v>
      </c>
      <c r="B63" s="29" t="n">
        <f aca="false">IF(B$4=0,0,B15/B$4)</f>
        <v>0.000571831905246846</v>
      </c>
      <c r="C63" s="29" t="n">
        <f aca="false">IF(C$4=0,0,C15/C$4)</f>
        <v>0.000583727082805496</v>
      </c>
      <c r="D63" s="29" t="n">
        <f aca="false">IF(D$4=0,0,D15/D$4)</f>
        <v>0.000321657918881644</v>
      </c>
      <c r="E63" s="29" t="n">
        <f aca="false">IF(E$4=0,0,E15/E$4)</f>
        <v>0.000479763282361783</v>
      </c>
      <c r="F63" s="29" t="n">
        <f aca="false">IF(F$4=0,0,F15/F$4)</f>
        <v>0.000484208645141041</v>
      </c>
      <c r="G63" s="29" t="n">
        <f aca="false">IF(G$4=0,0,G15/G$4)</f>
        <v>0.000523082659441541</v>
      </c>
      <c r="H63" s="29" t="n">
        <f aca="false">IF(H$4=0,0,H15/H$4)</f>
        <v>0.000483241280929952</v>
      </c>
    </row>
    <row r="64" customFormat="false" ht="15" hidden="false" customHeight="false" outlineLevel="0" collapsed="false">
      <c r="A64" s="26" t="s">
        <v>54</v>
      </c>
      <c r="B64" s="30" t="n">
        <f aca="false">IF(B$4=0,0,B16/B$4)</f>
        <v>0.000681497474017826</v>
      </c>
      <c r="C64" s="30" t="n">
        <f aca="false">IF(C$4=0,0,C16/C$4)</f>
        <v>0.00192728339586445</v>
      </c>
      <c r="D64" s="30" t="n">
        <f aca="false">IF(D$4=0,0,D16/D$4)</f>
        <v>0.00138662367802842</v>
      </c>
      <c r="E64" s="30" t="n">
        <f aca="false">IF(E$4=0,0,E16/E$4)</f>
        <v>0.00186904650022952</v>
      </c>
      <c r="F64" s="30" t="n">
        <f aca="false">IF(F$4=0,0,F16/F$4)</f>
        <v>0.00135349291538797</v>
      </c>
      <c r="G64" s="30" t="n">
        <f aca="false">IF(G$4=0,0,G16/G$4)</f>
        <v>0.0014430334177328</v>
      </c>
      <c r="H64" s="30" t="n">
        <f aca="false">IF(H$4=0,0,H16/H$4)</f>
        <v>0.00143845975023848</v>
      </c>
    </row>
    <row r="65" customFormat="false" ht="15" hidden="false" customHeight="false" outlineLevel="0" collapsed="false">
      <c r="A65" s="24" t="s">
        <v>55</v>
      </c>
      <c r="B65" s="29" t="n">
        <f aca="false">IF(B$4=0,0,B17/B$4)</f>
        <v>0.00311358529208031</v>
      </c>
      <c r="C65" s="29" t="n">
        <f aca="false">IF(C$4=0,0,C17/C$4)</f>
        <v>0.00796353117473289</v>
      </c>
      <c r="D65" s="29" t="n">
        <f aca="false">IF(D$4=0,0,D17/D$4)</f>
        <v>0.00402016628425029</v>
      </c>
      <c r="E65" s="29" t="n">
        <f aca="false">IF(E$4=0,0,E17/E$4)</f>
        <v>0.00691069607979839</v>
      </c>
      <c r="F65" s="29" t="n">
        <f aca="false">IF(F$4=0,0,F17/F$4)</f>
        <v>0.00421652635322716</v>
      </c>
      <c r="G65" s="29" t="n">
        <f aca="false">IF(G$4=0,0,G17/G$4)</f>
        <v>0.00656322654588274</v>
      </c>
      <c r="H65" s="29" t="n">
        <f aca="false">IF(H$4=0,0,H17/H$4)</f>
        <v>0.00537471958923499</v>
      </c>
    </row>
    <row r="66" customFormat="false" ht="15" hidden="false" customHeight="false" outlineLevel="0" collapsed="false">
      <c r="A66" s="26" t="s">
        <v>56</v>
      </c>
      <c r="B66" s="30" t="n">
        <f aca="false">IF(B$4=0,0,B18/B$4)</f>
        <v>0.000189732609800399</v>
      </c>
      <c r="C66" s="30" t="n">
        <f aca="false">IF(C$4=0,0,C18/C$4)</f>
        <v>0</v>
      </c>
      <c r="D66" s="30" t="n">
        <f aca="false">IF(D$4=0,0,D18/D$4)</f>
        <v>5.74989612370964E-005</v>
      </c>
      <c r="E66" s="30" t="n">
        <f aca="false">IF(E$4=0,0,E18/E$4)</f>
        <v>0.000641396094841904</v>
      </c>
      <c r="F66" s="30" t="n">
        <f aca="false">IF(F$4=0,0,F18/F$4)</f>
        <v>0.000363785091595912</v>
      </c>
      <c r="G66" s="30" t="n">
        <f aca="false">IF(G$4=0,0,G18/G$4)</f>
        <v>0.000231438993625685</v>
      </c>
      <c r="H66" s="30" t="n">
        <f aca="false">IF(H$4=0,0,H18/H$4)</f>
        <v>0.000264682250329581</v>
      </c>
    </row>
    <row r="67" customFormat="false" ht="15" hidden="false" customHeight="false" outlineLevel="0" collapsed="false">
      <c r="A67" s="24" t="s">
        <v>57</v>
      </c>
      <c r="B67" s="29" t="n">
        <f aca="false">IF(B$4=0,0,B19/B$4)</f>
        <v>1.37560811891194E-005</v>
      </c>
      <c r="C67" s="29" t="n">
        <f aca="false">IF(C$4=0,0,C19/C$4)</f>
        <v>0</v>
      </c>
      <c r="D67" s="29" t="n">
        <f aca="false">IF(D$4=0,0,D19/D$4)</f>
        <v>6.04088683460887E-005</v>
      </c>
      <c r="E67" s="29" t="n">
        <f aca="false">IF(E$4=0,0,E19/E$4)</f>
        <v>5.66205059517889E-005</v>
      </c>
      <c r="F67" s="29" t="n">
        <f aca="false">IF(F$4=0,0,F19/F$4)</f>
        <v>7.06896253857091E-005</v>
      </c>
      <c r="G67" s="29" t="n">
        <f aca="false">IF(G$4=0,0,G19/G$4)</f>
        <v>0.000200191007384973</v>
      </c>
      <c r="H67" s="29" t="n">
        <f aca="false">IF(H$4=0,0,H19/H$4)</f>
        <v>8.70699055051775E-005</v>
      </c>
    </row>
    <row r="68" customFormat="false" ht="15" hidden="false" customHeight="false" outlineLevel="0" collapsed="false">
      <c r="A68" s="26" t="s">
        <v>58</v>
      </c>
      <c r="B68" s="30" t="n">
        <f aca="false">IF(B$4=0,0,B20/B$4)</f>
        <v>0.000398229844044506</v>
      </c>
      <c r="C68" s="30" t="n">
        <f aca="false">IF(C$4=0,0,C20/C$4)</f>
        <v>0.000434161060800192</v>
      </c>
      <c r="D68" s="30" t="n">
        <f aca="false">IF(D$4=0,0,D20/D$4)</f>
        <v>0.000200580955834713</v>
      </c>
      <c r="E68" s="30" t="n">
        <f aca="false">IF(E$4=0,0,E20/E$4)</f>
        <v>0.000532187540744866</v>
      </c>
      <c r="F68" s="30" t="n">
        <f aca="false">IF(F$4=0,0,F20/F$4)</f>
        <v>0.000248568558145419</v>
      </c>
      <c r="G68" s="30" t="n">
        <f aca="false">IF(G$4=0,0,G20/G$4)</f>
        <v>8.19430051846486E-005</v>
      </c>
      <c r="H68" s="30" t="n">
        <f aca="false">IF(H$4=0,0,H20/H$4)</f>
        <v>0.000269570114759889</v>
      </c>
    </row>
    <row r="69" customFormat="false" ht="15" hidden="false" customHeight="false" outlineLevel="0" collapsed="false">
      <c r="A69" s="24" t="s">
        <v>59</v>
      </c>
      <c r="B69" s="29" t="n">
        <f aca="false">IF(B$4=0,0,B21/B$4)</f>
        <v>5.33368699178582E-005</v>
      </c>
      <c r="C69" s="29" t="n">
        <f aca="false">IF(C$4=0,0,C21/C$4)</f>
        <v>5.92105487115114E-005</v>
      </c>
      <c r="D69" s="29" t="n">
        <f aca="false">IF(D$4=0,0,D21/D$4)</f>
        <v>2.03291879333367E-005</v>
      </c>
      <c r="E69" s="29" t="n">
        <f aca="false">IF(E$4=0,0,E21/E$4)</f>
        <v>3.47626468459708E-005</v>
      </c>
      <c r="F69" s="29" t="n">
        <f aca="false">IF(F$4=0,0,F21/F$4)</f>
        <v>6.06584357396729E-005</v>
      </c>
      <c r="G69" s="29" t="n">
        <f aca="false">IF(G$4=0,0,G21/G$4)</f>
        <v>0.000219264568234559</v>
      </c>
      <c r="H69" s="29" t="n">
        <f aca="false">IF(H$4=0,0,H21/H$4)</f>
        <v>8.88793628855736E-005</v>
      </c>
    </row>
    <row r="70" customFormat="false" ht="15" hidden="false" customHeight="false" outlineLevel="0" collapsed="false">
      <c r="A70" s="26" t="s">
        <v>60</v>
      </c>
      <c r="B70" s="30" t="n">
        <f aca="false">IF(B$4=0,0,B22/B$4)</f>
        <v>0.00869657553202198</v>
      </c>
      <c r="C70" s="30" t="n">
        <f aca="false">IF(C$4=0,0,C22/C$4)</f>
        <v>0.00904663281101021</v>
      </c>
      <c r="D70" s="30" t="n">
        <f aca="false">IF(D$4=0,0,D22/D$4)</f>
        <v>0.00532501317504257</v>
      </c>
      <c r="E70" s="30" t="n">
        <f aca="false">IF(E$4=0,0,E22/E$4)</f>
        <v>0.00731577123061295</v>
      </c>
      <c r="F70" s="30" t="n">
        <f aca="false">IF(F$4=0,0,F22/F$4)</f>
        <v>0.00427525537385291</v>
      </c>
      <c r="G70" s="30" t="n">
        <f aca="false">IF(G$4=0,0,G22/G$4)</f>
        <v>0.00501072802315633</v>
      </c>
      <c r="H70" s="30" t="n">
        <f aca="false">IF(H$4=0,0,H22/H$4)</f>
        <v>0.00593818203614891</v>
      </c>
    </row>
    <row r="71" customFormat="false" ht="15" hidden="false" customHeight="false" outlineLevel="0" collapsed="false">
      <c r="A71" s="24" t="s">
        <v>61</v>
      </c>
      <c r="B71" s="29" t="n">
        <f aca="false">IF(B$4=0,0,B23/B$4)</f>
        <v>0.00596870189180625</v>
      </c>
      <c r="C71" s="29" t="n">
        <f aca="false">IF(C$4=0,0,C23/C$4)</f>
        <v>0.00675420190680706</v>
      </c>
      <c r="D71" s="29" t="n">
        <f aca="false">IF(D$4=0,0,D23/D$4)</f>
        <v>0.00351430430832613</v>
      </c>
      <c r="E71" s="29" t="n">
        <f aca="false">IF(E$4=0,0,E23/E$4)</f>
        <v>0.00862015367922777</v>
      </c>
      <c r="F71" s="29" t="n">
        <f aca="false">IF(F$4=0,0,F23/F$4)</f>
        <v>0.00362441450448463</v>
      </c>
      <c r="G71" s="29" t="n">
        <f aca="false">IF(G$4=0,0,G23/G$4)</f>
        <v>0.00434090120673588</v>
      </c>
      <c r="H71" s="29" t="n">
        <f aca="false">IF(H$4=0,0,H23/H$4)</f>
        <v>0.00499016362063378</v>
      </c>
    </row>
    <row r="72" customFormat="false" ht="15" hidden="false" customHeight="false" outlineLevel="0" collapsed="false">
      <c r="A72" s="26" t="s">
        <v>62</v>
      </c>
      <c r="B72" s="30" t="n">
        <f aca="false">IF(B$4=0,0,B24/B$4)</f>
        <v>0.00219831991867417</v>
      </c>
      <c r="C72" s="30" t="n">
        <f aca="false">IF(C$4=0,0,C24/C$4)</f>
        <v>0.00260001241330306</v>
      </c>
      <c r="D72" s="30" t="n">
        <f aca="false">IF(D$4=0,0,D24/D$4)</f>
        <v>0.00183518019971269</v>
      </c>
      <c r="E72" s="30" t="n">
        <f aca="false">IF(E$4=0,0,E24/E$4)</f>
        <v>0.0047270740395956</v>
      </c>
      <c r="F72" s="30" t="n">
        <f aca="false">IF(F$4=0,0,F24/F$4)</f>
        <v>0.00457415677486894</v>
      </c>
      <c r="G72" s="30" t="n">
        <f aca="false">IF(G$4=0,0,G24/G$4)</f>
        <v>0.00400145062019562</v>
      </c>
      <c r="H72" s="30" t="n">
        <f aca="false">IF(H$4=0,0,H24/H$4)</f>
        <v>0.00355993488677061</v>
      </c>
    </row>
    <row r="73" customFormat="false" ht="15" hidden="false" customHeight="false" outlineLevel="0" collapsed="false">
      <c r="A73" s="24" t="s">
        <v>63</v>
      </c>
      <c r="B73" s="29" t="n">
        <f aca="false">IF(B$4=0,0,B25/B$4)</f>
        <v>0.000550205256086231</v>
      </c>
      <c r="C73" s="29" t="n">
        <f aca="false">IF(C$4=0,0,C25/C$4)</f>
        <v>0.000553851100717604</v>
      </c>
      <c r="D73" s="29" t="n">
        <f aca="false">IF(D$4=0,0,D25/D$4)</f>
        <v>0.000312937325243215</v>
      </c>
      <c r="E73" s="29" t="n">
        <f aca="false">IF(E$4=0,0,E25/E$4)</f>
        <v>0.000337083944331625</v>
      </c>
      <c r="F73" s="29" t="n">
        <f aca="false">IF(F$4=0,0,F25/F$4)</f>
        <v>0.00019288465240152</v>
      </c>
      <c r="G73" s="29" t="n">
        <f aca="false">IF(G$4=0,0,G25/G$4)</f>
        <v>0.000253275741500513</v>
      </c>
      <c r="H73" s="29" t="n">
        <f aca="false">IF(H$4=0,0,H25/H$4)</f>
        <v>0.000317441091513448</v>
      </c>
    </row>
    <row r="74" customFormat="false" ht="15" hidden="false" customHeight="false" outlineLevel="0" collapsed="false">
      <c r="A74" s="26" t="s">
        <v>64</v>
      </c>
      <c r="B74" s="30" t="n">
        <f aca="false">IF(B$4=0,0,B26/B$4)</f>
        <v>0.000434638344314902</v>
      </c>
      <c r="C74" s="30" t="n">
        <f aca="false">IF(C$4=0,0,C26/C$4)</f>
        <v>0.000408738220905942</v>
      </c>
      <c r="D74" s="30" t="n">
        <f aca="false">IF(D$4=0,0,D26/D$4)</f>
        <v>0.000266714710437891</v>
      </c>
      <c r="E74" s="30" t="n">
        <f aca="false">IF(E$4=0,0,E26/E$4)</f>
        <v>0.000322458210639711</v>
      </c>
      <c r="F74" s="30" t="n">
        <f aca="false">IF(F$4=0,0,F26/F$4)</f>
        <v>0.000188442069860209</v>
      </c>
      <c r="G74" s="30" t="n">
        <f aca="false">IF(G$4=0,0,G26/G$4)</f>
        <v>0.000189873847428165</v>
      </c>
      <c r="H74" s="30" t="n">
        <f aca="false">IF(H$4=0,0,H26/H$4)</f>
        <v>0.0002655583324259</v>
      </c>
    </row>
    <row r="75" customFormat="false" ht="15" hidden="false" customHeight="false" outlineLevel="0" collapsed="false">
      <c r="A75" s="24" t="s">
        <v>65</v>
      </c>
      <c r="B75" s="29" t="n">
        <f aca="false">IF(B$4=0,0,B27/B$4)</f>
        <v>0.00112782136394125</v>
      </c>
      <c r="C75" s="29" t="n">
        <f aca="false">IF(C$4=0,0,C27/C$4)</f>
        <v>0.000805044189213525</v>
      </c>
      <c r="D75" s="29" t="n">
        <f aca="false">IF(D$4=0,0,D27/D$4)</f>
        <v>0.00037507132672481</v>
      </c>
      <c r="E75" s="29" t="n">
        <f aca="false">IF(E$4=0,0,E27/E$4)</f>
        <v>0.000892303555294168</v>
      </c>
      <c r="F75" s="29" t="n">
        <f aca="false">IF(F$4=0,0,F27/F$4)</f>
        <v>7.69479050578111E-005</v>
      </c>
      <c r="G75" s="29" t="n">
        <f aca="false">IF(G$4=0,0,G27/G$4)</f>
        <v>5.16892615813303E-005</v>
      </c>
      <c r="H75" s="29" t="n">
        <f aca="false">IF(H$4=0,0,H27/H$4)</f>
        <v>0.000405542589196001</v>
      </c>
    </row>
    <row r="76" customFormat="false" ht="15" hidden="false" customHeight="false" outlineLevel="0" collapsed="false">
      <c r="A76" s="26" t="s">
        <v>66</v>
      </c>
      <c r="B76" s="30" t="n">
        <f aca="false">IF(B$4=0,0,B28/B$4)</f>
        <v>0.01953640233457</v>
      </c>
      <c r="C76" s="30" t="n">
        <f aca="false">IF(C$4=0,0,C28/C$4)</f>
        <v>0.0160043730939172</v>
      </c>
      <c r="D76" s="30" t="n">
        <f aca="false">IF(D$4=0,0,D28/D$4)</f>
        <v>0.0178224416998057</v>
      </c>
      <c r="E76" s="30" t="n">
        <f aca="false">IF(E$4=0,0,E28/E$4)</f>
        <v>0.00853992437854364</v>
      </c>
      <c r="F76" s="30" t="n">
        <f aca="false">IF(F$4=0,0,F28/F$4)</f>
        <v>0</v>
      </c>
      <c r="G76" s="30" t="n">
        <f aca="false">IF(G$4=0,0,G28/G$4)</f>
        <v>0</v>
      </c>
      <c r="H76" s="30" t="n">
        <f aca="false">IF(H$4=0,0,H28/H$4)</f>
        <v>0.00767009906807175</v>
      </c>
    </row>
    <row r="77" customFormat="false" ht="15" hidden="false" customHeight="false" outlineLevel="0" collapsed="false">
      <c r="A77" s="24" t="s">
        <v>67</v>
      </c>
      <c r="B77" s="29" t="n">
        <f aca="false">IF(B$4=0,0,B29/B$4)</f>
        <v>0</v>
      </c>
      <c r="C77" s="29" t="n">
        <f aca="false">IF(C$4=0,0,C29/C$4)</f>
        <v>0</v>
      </c>
      <c r="D77" s="29" t="n">
        <f aca="false">IF(D$4=0,0,D29/D$4)</f>
        <v>0</v>
      </c>
      <c r="E77" s="29" t="n">
        <f aca="false">IF(E$4=0,0,E29/E$4)</f>
        <v>0</v>
      </c>
      <c r="F77" s="29" t="n">
        <f aca="false">IF(F$4=0,0,F29/F$4)</f>
        <v>0</v>
      </c>
      <c r="G77" s="29" t="n">
        <f aca="false">IF(G$4=0,0,G29/G$4)</f>
        <v>0</v>
      </c>
      <c r="H77" s="29" t="n">
        <f aca="false">IF(H$4=0,0,H29/H$4)</f>
        <v>0</v>
      </c>
    </row>
    <row r="78" customFormat="false" ht="15" hidden="false" customHeight="false" outlineLevel="0" collapsed="false">
      <c r="A78" s="26" t="s">
        <v>68</v>
      </c>
      <c r="B78" s="30" t="n">
        <f aca="false">IF(B$4=0,0,B30/B$4)</f>
        <v>0.00049803029222048</v>
      </c>
      <c r="C78" s="30" t="n">
        <f aca="false">IF(C$4=0,0,C30/C$4)</f>
        <v>0.000518077073915792</v>
      </c>
      <c r="D78" s="30" t="n">
        <f aca="false">IF(D$4=0,0,D30/D$4)</f>
        <v>0.000304950597764017</v>
      </c>
      <c r="E78" s="30" t="n">
        <f aca="false">IF(E$4=0,0,E30/E$4)</f>
        <v>0.000368686140837229</v>
      </c>
      <c r="F78" s="30" t="n">
        <f aca="false">IF(F$4=0,0,F30/F$4)</f>
        <v>0.000215455144988388</v>
      </c>
      <c r="G78" s="30" t="n">
        <f aca="false">IF(G$4=0,0,G30/G$4)</f>
        <v>0.000217093132220658</v>
      </c>
      <c r="H78" s="30" t="n">
        <f aca="false">IF(H$4=0,0,H30/H$4)</f>
        <v>0.000308456134562984</v>
      </c>
    </row>
    <row r="79" customFormat="false" ht="15" hidden="false" customHeight="false" outlineLevel="0" collapsed="false">
      <c r="A79" s="24" t="s">
        <v>69</v>
      </c>
      <c r="B79" s="29" t="n">
        <f aca="false">IF(B$4=0,0,B31/B$4)</f>
        <v>0.000214537879332447</v>
      </c>
      <c r="C79" s="29" t="n">
        <f aca="false">IF(C$4=0,0,C31/C$4)</f>
        <v>9.47950801008275E-005</v>
      </c>
      <c r="D79" s="29" t="n">
        <f aca="false">IF(D$4=0,0,D31/D$4)</f>
        <v>0.000177936986085691</v>
      </c>
      <c r="E79" s="29" t="n">
        <f aca="false">IF(E$4=0,0,E31/E$4)</f>
        <v>0.000318054342245726</v>
      </c>
      <c r="F79" s="29" t="n">
        <f aca="false">IF(F$4=0,0,F31/F$4)</f>
        <v>0.000116801004015568</v>
      </c>
      <c r="G79" s="29" t="n">
        <f aca="false">IF(G$4=0,0,G31/G$4)</f>
        <v>0.000138667828143944</v>
      </c>
      <c r="H79" s="29" t="n">
        <f aca="false">IF(H$4=0,0,H31/H$4)</f>
        <v>0.000167932944070677</v>
      </c>
    </row>
    <row r="80" customFormat="false" ht="15" hidden="false" customHeight="false" outlineLevel="0" collapsed="false">
      <c r="A80" s="26" t="s">
        <v>70</v>
      </c>
      <c r="B80" s="30" t="n">
        <f aca="false">IF(B$4=0,0,B32/B$4)</f>
        <v>5.40428782274493E-005</v>
      </c>
      <c r="C80" s="30" t="n">
        <f aca="false">IF(C$4=0,0,C32/C$4)</f>
        <v>0.000152306937793184</v>
      </c>
      <c r="D80" s="30" t="n">
        <f aca="false">IF(D$4=0,0,D32/D$4)</f>
        <v>0.000124291734953415</v>
      </c>
      <c r="E80" s="30" t="n">
        <f aca="false">IF(E$4=0,0,E32/E$4)</f>
        <v>0.000117195035176124</v>
      </c>
      <c r="F80" s="30" t="n">
        <f aca="false">IF(F$4=0,0,F32/F$4)</f>
        <v>0.000105422888035903</v>
      </c>
      <c r="G80" s="30" t="n">
        <f aca="false">IF(G$4=0,0,G32/G$4)</f>
        <v>7.03679011802762E-005</v>
      </c>
      <c r="H80" s="30" t="n">
        <f aca="false">IF(H$4=0,0,H32/H$4)</f>
        <v>0.000100789735186772</v>
      </c>
    </row>
    <row r="81" customFormat="false" ht="15" hidden="false" customHeight="false" outlineLevel="0" collapsed="false">
      <c r="A81" s="24" t="s">
        <v>71</v>
      </c>
      <c r="B81" s="29" t="n">
        <f aca="false">IF(B$4=0,0,B33/B$4)</f>
        <v>5.24345723024614E-005</v>
      </c>
      <c r="C81" s="29" t="n">
        <f aca="false">IF(C$4=0,0,C33/C$4)</f>
        <v>0</v>
      </c>
      <c r="D81" s="29" t="n">
        <f aca="false">IF(D$4=0,0,D33/D$4)</f>
        <v>6.56372083461854E-005</v>
      </c>
      <c r="E81" s="29" t="n">
        <f aca="false">IF(E$4=0,0,E33/E$4)</f>
        <v>1.228884595849E-005</v>
      </c>
      <c r="F81" s="29" t="n">
        <f aca="false">IF(F$4=0,0,F33/F$4)</f>
        <v>0</v>
      </c>
      <c r="G81" s="29" t="n">
        <f aca="false">IF(G$4=0,0,G33/G$4)</f>
        <v>4.13468670398173E-006</v>
      </c>
      <c r="H81" s="29" t="n">
        <f aca="false">IF(H$4=0,0,H33/H$4)</f>
        <v>1.92407523568529E-005</v>
      </c>
    </row>
    <row r="82" customFormat="false" ht="15" hidden="false" customHeight="false" outlineLevel="0" collapsed="false">
      <c r="A82" s="26" t="s">
        <v>72</v>
      </c>
      <c r="B82" s="30" t="n">
        <f aca="false">IF(B$4=0,0,B34/B$4)</f>
        <v>0.000302633786160626</v>
      </c>
      <c r="C82" s="30" t="n">
        <f aca="false">IF(C$4=0,0,C34/C$4)</f>
        <v>0.000280365230480259</v>
      </c>
      <c r="D82" s="30" t="n">
        <f aca="false">IF(D$4=0,0,D34/D$4)</f>
        <v>0.000506588539932549</v>
      </c>
      <c r="E82" s="30" t="n">
        <f aca="false">IF(E$4=0,0,E34/E$4)</f>
        <v>0.000562961560847411</v>
      </c>
      <c r="F82" s="30" t="n">
        <f aca="false">IF(F$4=0,0,F34/F$4)</f>
        <v>0.000186036302750239</v>
      </c>
      <c r="G82" s="30" t="n">
        <f aca="false">IF(G$4=0,0,G34/G$4)</f>
        <v>0.00040912075145343</v>
      </c>
      <c r="H82" s="30" t="n">
        <f aca="false">IF(H$4=0,0,H34/H$4)</f>
        <v>0.000368775472946742</v>
      </c>
    </row>
    <row r="83" customFormat="false" ht="15" hidden="false" customHeight="false" outlineLevel="0" collapsed="false">
      <c r="A83" s="24" t="s">
        <v>73</v>
      </c>
      <c r="B83" s="29" t="n">
        <f aca="false">IF(B$4=0,0,B35/B$4)</f>
        <v>0.000365620491628411</v>
      </c>
      <c r="C83" s="29" t="n">
        <f aca="false">IF(C$4=0,0,C35/C$4)</f>
        <v>0.000321925635056483</v>
      </c>
      <c r="D83" s="29" t="n">
        <f aca="false">IF(D$4=0,0,D35/D$4)</f>
        <v>0.000393149626662295</v>
      </c>
      <c r="E83" s="29" t="n">
        <f aca="false">IF(E$4=0,0,E35/E$4)</f>
        <v>0.000950273596610274</v>
      </c>
      <c r="F83" s="29" t="n">
        <f aca="false">IF(F$4=0,0,F35/F$4)</f>
        <v>9.58870033830961E-005</v>
      </c>
      <c r="G83" s="29" t="n">
        <f aca="false">IF(G$4=0,0,G35/G$4)</f>
        <v>0.000538635995724721</v>
      </c>
      <c r="H83" s="29" t="n">
        <f aca="false">IF(H$4=0,0,H35/H$4)</f>
        <v>0.000422049323224959</v>
      </c>
    </row>
    <row r="84" customFormat="false" ht="15" hidden="false" customHeight="false" outlineLevel="0" collapsed="false">
      <c r="A84" s="26" t="s">
        <v>74</v>
      </c>
      <c r="B84" s="30" t="n">
        <f aca="false">IF(B$4=0,0,B36/B$4)</f>
        <v>0</v>
      </c>
      <c r="C84" s="30" t="n">
        <f aca="false">IF(C$4=0,0,C36/C$4)</f>
        <v>0.00123352038763885</v>
      </c>
      <c r="D84" s="30" t="n">
        <f aca="false">IF(D$4=0,0,D36/D$4)</f>
        <v>0.00117620855055247</v>
      </c>
      <c r="E84" s="30" t="n">
        <f aca="false">IF(E$4=0,0,E36/E$4)</f>
        <v>0.002770406937302</v>
      </c>
      <c r="F84" s="30" t="n">
        <f aca="false">IF(F$4=0,0,F36/F$4)</f>
        <v>0.000246234812424771</v>
      </c>
      <c r="G84" s="30" t="n">
        <f aca="false">IF(G$4=0,0,G36/G$4)</f>
        <v>0.00111340286983065</v>
      </c>
      <c r="H84" s="30" t="n">
        <f aca="false">IF(H$4=0,0,H36/H$4)</f>
        <v>0.00103476628293747</v>
      </c>
    </row>
    <row r="85" customFormat="false" ht="15" hidden="false" customHeight="false" outlineLevel="0" collapsed="false">
      <c r="A85" s="24" t="s">
        <v>75</v>
      </c>
      <c r="B85" s="29" t="n">
        <f aca="false">IF(B$4=0,0,B37/B$4)</f>
        <v>4.97593390217235E-005</v>
      </c>
      <c r="C85" s="29" t="n">
        <f aca="false">IF(C$4=0,0,C37/C$4)</f>
        <v>5.17627022311115E-005</v>
      </c>
      <c r="D85" s="29" t="n">
        <f aca="false">IF(D$4=0,0,D37/D$4)</f>
        <v>3.04682243720716E-005</v>
      </c>
      <c r="E85" s="29" t="n">
        <f aca="false">IF(E$4=0,0,E37/E$4)</f>
        <v>3.68365482007075E-005</v>
      </c>
      <c r="F85" s="29" t="n">
        <f aca="false">IF(F$4=0,0,F37/F$4)</f>
        <v>2.15268142082781E-005</v>
      </c>
      <c r="G85" s="29" t="n">
        <f aca="false">IF(G$4=0,0,G37/G$4)</f>
        <v>2.16903872835367E-005</v>
      </c>
      <c r="H85" s="29" t="n">
        <f aca="false">IF(H$4=0,0,H37/H$4)</f>
        <v>3.08186982499616E-005</v>
      </c>
    </row>
    <row r="86" customFormat="false" ht="15" hidden="false" customHeight="false" outlineLevel="0" collapsed="false">
      <c r="A86" s="26" t="s">
        <v>76</v>
      </c>
      <c r="B86" s="30" t="n">
        <f aca="false">IF(B$4=0,0,B38/B$4)</f>
        <v>0.00400868035633664</v>
      </c>
      <c r="C86" s="30" t="n">
        <f aca="false">IF(C$4=0,0,C38/C$4)</f>
        <v>0.0012696564860324</v>
      </c>
      <c r="D86" s="30" t="n">
        <f aca="false">IF(D$4=0,0,D38/D$4)</f>
        <v>0.000944790611728358</v>
      </c>
      <c r="E86" s="30" t="n">
        <f aca="false">IF(E$4=0,0,E38/E$4)</f>
        <v>0.000889189242914975</v>
      </c>
      <c r="F86" s="30" t="n">
        <f aca="false">IF(F$4=0,0,F38/F$4)</f>
        <v>0.000590522324044869</v>
      </c>
      <c r="G86" s="30" t="n">
        <f aca="false">IF(G$4=0,0,G38/G$4)</f>
        <v>0.000990420859539592</v>
      </c>
      <c r="H86" s="30" t="n">
        <f aca="false">IF(H$4=0,0,H38/H$4)</f>
        <v>0.00119519633779375</v>
      </c>
    </row>
    <row r="87" customFormat="false" ht="15" hidden="false" customHeight="false" outlineLevel="0" collapsed="false">
      <c r="A87" s="17" t="s">
        <v>16</v>
      </c>
      <c r="B87" s="19" t="n">
        <f aca="false">IF(B$4=0,0,B39/B$4)</f>
        <v>0.0246491435509758</v>
      </c>
      <c r="C87" s="19" t="n">
        <f aca="false">IF(C$4=0,0,C39/C$4)</f>
        <v>0.0486054514865925</v>
      </c>
      <c r="D87" s="19" t="n">
        <f aca="false">IF(D$4=0,0,D39/D$4)</f>
        <v>-0.100384710348385</v>
      </c>
      <c r="E87" s="19" t="n">
        <f aca="false">IF(E$4=0,0,E39/E$4)</f>
        <v>0.00783270325449589</v>
      </c>
      <c r="F87" s="19" t="n">
        <f aca="false">IF(F$4=0,0,F39/F$4)</f>
        <v>0.0221717783849844</v>
      </c>
      <c r="G87" s="19" t="n">
        <f aca="false">IF(G$4=0,0,G39/G$4)</f>
        <v>-0.00454556252080142</v>
      </c>
      <c r="H87" s="19" t="n">
        <f aca="false">IF(H$4=0,0,H39/H$4)</f>
        <v>-0.00487915366218467</v>
      </c>
    </row>
    <row r="88" customFormat="false" ht="15" hidden="false" customHeight="false" outlineLevel="0" collapsed="false">
      <c r="A88" s="17" t="s">
        <v>17</v>
      </c>
      <c r="B88" s="19" t="n">
        <f aca="false">IF(B$4=0,0,B40/B$4)</f>
        <v>-0.000485486772388192</v>
      </c>
      <c r="C88" s="19" t="n">
        <f aca="false">IF(C$4=0,0,C40/C$4)</f>
        <v>0.00475961041719357</v>
      </c>
      <c r="D88" s="19" t="n">
        <f aca="false">IF(D$4=0,0,D40/D$4)</f>
        <v>0.00229250295347813</v>
      </c>
      <c r="E88" s="19" t="n">
        <f aca="false">IF(E$4=0,0,E40/E$4)</f>
        <v>0.00455803147055106</v>
      </c>
      <c r="F88" s="19" t="n">
        <f aca="false">IF(F$4=0,0,F40/F$4)</f>
        <v>-0.0034418289107561</v>
      </c>
      <c r="G88" s="19" t="n">
        <f aca="false">IF(G$4=0,0,G40/G$4)</f>
        <v>-0.0101935079682926</v>
      </c>
      <c r="H88" s="19" t="n">
        <f aca="false">IF(H$4=0,0,H40/H$4)</f>
        <v>-0.00198893143902491</v>
      </c>
    </row>
    <row r="89" customFormat="false" ht="15" hidden="false" customHeight="false" outlineLevel="0" collapsed="false">
      <c r="A89" s="24" t="s">
        <v>77</v>
      </c>
      <c r="B89" s="29" t="n">
        <f aca="false">IF(B$4=0,0,B41/B$4)</f>
        <v>0</v>
      </c>
      <c r="C89" s="29" t="n">
        <f aca="false">IF(C$4=0,0,C41/C$4)</f>
        <v>0.00904071107936973</v>
      </c>
      <c r="D89" s="29" t="n">
        <f aca="false">IF(D$4=0,0,D41/D$4)</f>
        <v>0.00453609975171793</v>
      </c>
      <c r="E89" s="29" t="n">
        <f aca="false">IF(E$4=0,0,E41/E$4)</f>
        <v>0.00541300480145997</v>
      </c>
      <c r="F89" s="29" t="n">
        <f aca="false">IF(F$4=0,0,F41/F$4)</f>
        <v>0.00234273954958174</v>
      </c>
      <c r="G89" s="29" t="n">
        <f aca="false">IF(G$4=0,0,G41/G$4)</f>
        <v>0.000317160877869969</v>
      </c>
      <c r="H89" s="29" t="n">
        <f aca="false">IF(H$4=0,0,H41/H$4)</f>
        <v>0.00302472112939865</v>
      </c>
    </row>
    <row r="90" customFormat="false" ht="15" hidden="false" customHeight="false" outlineLevel="0" collapsed="false">
      <c r="A90" s="26" t="s">
        <v>78</v>
      </c>
      <c r="B90" s="30" t="n">
        <f aca="false">IF(B$4=0,0,B42/B$4)</f>
        <v>0.000344326267905047</v>
      </c>
      <c r="C90" s="30" t="n">
        <f aca="false">IF(C$4=0,0,C42/C$4)</f>
        <v>0.000748056827752182</v>
      </c>
      <c r="D90" s="30" t="n">
        <f aca="false">IF(D$4=0,0,D42/D$4)</f>
        <v>0.000160404521923356</v>
      </c>
      <c r="E90" s="30" t="n">
        <f aca="false">IF(E$4=0,0,E42/E$4)</f>
        <v>0.000295317554979558</v>
      </c>
      <c r="F90" s="30" t="n">
        <f aca="false">IF(F$4=0,0,F42/F$4)</f>
        <v>3.33244231924122E-005</v>
      </c>
      <c r="G90" s="30" t="n">
        <f aca="false">IF(G$4=0,0,G42/G$4)</f>
        <v>5.51527083321481E-005</v>
      </c>
      <c r="H90" s="30" t="n">
        <f aca="false">IF(H$4=0,0,H42/H$4)</f>
        <v>0.000193850556385463</v>
      </c>
    </row>
    <row r="91" customFormat="false" ht="15" hidden="false" customHeight="false" outlineLevel="0" collapsed="false">
      <c r="A91" s="24" t="s">
        <v>79</v>
      </c>
      <c r="B91" s="29" t="n">
        <f aca="false">IF(B$4=0,0,B43/B$4)</f>
        <v>1.17140392174319E-006</v>
      </c>
      <c r="C91" s="29" t="n">
        <f aca="false">IF(C$4=0,0,C43/C$4)</f>
        <v>1.21243225530544E-005</v>
      </c>
      <c r="D91" s="29" t="n">
        <f aca="false">IF(D$4=0,0,D43/D$4)</f>
        <v>3.86831440649609E-006</v>
      </c>
      <c r="E91" s="29" t="n">
        <f aca="false">IF(E$4=0,0,E43/E$4)</f>
        <v>3.0038119621832E-005</v>
      </c>
      <c r="F91" s="29" t="n">
        <f aca="false">IF(F$4=0,0,F43/F$4)</f>
        <v>5.3510628732792E-005</v>
      </c>
      <c r="G91" s="29" t="n">
        <f aca="false">IF(G$4=0,0,G43/G$4)</f>
        <v>2.43513742407224E-007</v>
      </c>
      <c r="H91" s="29" t="n">
        <f aca="false">IF(H$4=0,0,H43/H$4)</f>
        <v>1.94028731903436E-005</v>
      </c>
    </row>
    <row r="92" customFormat="false" ht="15" hidden="false" customHeight="false" outlineLevel="0" collapsed="false">
      <c r="A92" s="26" t="s">
        <v>80</v>
      </c>
      <c r="B92" s="30" t="n">
        <f aca="false">IF(B$4=0,0,B44/B$4)</f>
        <v>0</v>
      </c>
      <c r="C92" s="30" t="n">
        <f aca="false">IF(C$4=0,0,C44/C$4)</f>
        <v>0</v>
      </c>
      <c r="D92" s="30" t="n">
        <f aca="false">IF(D$4=0,0,D44/D$4)</f>
        <v>0</v>
      </c>
      <c r="E92" s="30" t="n">
        <f aca="false">IF(E$4=0,0,E44/E$4)</f>
        <v>0</v>
      </c>
      <c r="F92" s="30" t="n">
        <f aca="false">IF(F$4=0,0,F44/F$4)</f>
        <v>0</v>
      </c>
      <c r="G92" s="30" t="n">
        <f aca="false">IF(G$4=0,0,G44/G$4)</f>
        <v>0</v>
      </c>
      <c r="H92" s="30" t="n">
        <f aca="false">IF(H$4=0,0,H44/H$4)</f>
        <v>0</v>
      </c>
    </row>
    <row r="93" customFormat="false" ht="15" hidden="false" customHeight="false" outlineLevel="0" collapsed="false">
      <c r="A93" s="24" t="s">
        <v>81</v>
      </c>
      <c r="B93" s="29" t="n">
        <f aca="false">IF(B$4=0,0,B45/B$4)</f>
        <v>0.000830987610171528</v>
      </c>
      <c r="C93" s="29" t="n">
        <f aca="false">IF(C$4=0,0,C45/C$4)</f>
        <v>0.00504128519632804</v>
      </c>
      <c r="D93" s="29" t="n">
        <f aca="false">IF(D$4=0,0,D45/D$4)</f>
        <v>0.00240786963456965</v>
      </c>
      <c r="E93" s="29" t="n">
        <f aca="false">IF(E$4=0,0,E45/E$4)</f>
        <v>0.0011803290055103</v>
      </c>
      <c r="F93" s="29" t="n">
        <f aca="false">IF(F$4=0,0,F45/F$4)</f>
        <v>0.0058714047757962</v>
      </c>
      <c r="G93" s="29" t="n">
        <f aca="false">IF(G$4=0,0,G45/G$4)</f>
        <v>0.0105660663299664</v>
      </c>
      <c r="H93" s="29" t="n">
        <f aca="false">IF(H$4=0,0,H45/H$4)</f>
        <v>0.00522690725719031</v>
      </c>
    </row>
    <row r="94" customFormat="false" ht="15" hidden="false" customHeight="false" outlineLevel="0" collapsed="false">
      <c r="A94" s="17" t="s">
        <v>82</v>
      </c>
      <c r="B94" s="19" t="n">
        <f aca="false">IF(B$4=0,0,B46/B$4)</f>
        <v>0.0241636536126311</v>
      </c>
      <c r="C94" s="19" t="n">
        <f aca="false">IF(C$4=0,0,C46/C$4)</f>
        <v>0.0533650619037861</v>
      </c>
      <c r="D94" s="19" t="n">
        <f aca="false">IF(D$4=0,0,D46/D$4)</f>
        <v>-0.0980922073949068</v>
      </c>
      <c r="E94" s="19" t="n">
        <f aca="false">IF(E$4=0,0,E46/E$4)</f>
        <v>0.0123907347250469</v>
      </c>
      <c r="F94" s="19" t="n">
        <f aca="false">IF(F$4=0,0,F46/F$4)</f>
        <v>0.0187299482106951</v>
      </c>
      <c r="G94" s="19" t="n">
        <f aca="false">IF(G$4=0,0,G46/G$4)</f>
        <v>-0.0147390704890941</v>
      </c>
      <c r="H94" s="19" t="n">
        <f aca="false">IF(H$4=0,0,H46/H$4)</f>
        <v>-0.00686808573080505</v>
      </c>
    </row>
    <row r="95" customFormat="false" ht="15" hidden="false" customHeight="false" outlineLevel="0" collapsed="false">
      <c r="A95" s="24" t="s">
        <v>83</v>
      </c>
      <c r="B95" s="29" t="n">
        <f aca="false">IF(B$4=0,0,B47/B$4)</f>
        <v>0</v>
      </c>
      <c r="C95" s="29" t="n">
        <f aca="false">IF(C$4=0,0,C47/C$4)</f>
        <v>0</v>
      </c>
      <c r="D95" s="29" t="n">
        <f aca="false">IF(D$4=0,0,D47/D$4)</f>
        <v>0</v>
      </c>
      <c r="E95" s="29" t="n">
        <f aca="false">IF(E$4=0,0,E47/E$4)</f>
        <v>0</v>
      </c>
      <c r="F95" s="29" t="n">
        <f aca="false">IF(F$4=0,0,F47/F$4)</f>
        <v>0</v>
      </c>
      <c r="G95" s="29" t="n">
        <f aca="false">IF(G$4=0,0,G47/G$4)</f>
        <v>0</v>
      </c>
      <c r="H95" s="29" t="n">
        <f aca="false">IF(H$4=0,0,H47/H$4)</f>
        <v>0</v>
      </c>
    </row>
    <row r="96" customFormat="false" ht="15" hidden="false" customHeight="false" outlineLevel="0" collapsed="false">
      <c r="A96" s="17" t="s">
        <v>18</v>
      </c>
      <c r="B96" s="19" t="n">
        <f aca="false">IF(B$4=0,0,B48/B$4)</f>
        <v>0.0241636536126311</v>
      </c>
      <c r="C96" s="19" t="n">
        <f aca="false">IF(C$4=0,0,C48/C$4)</f>
        <v>0.0533650619037861</v>
      </c>
      <c r="D96" s="19" t="n">
        <f aca="false">IF(D$4=0,0,D48/D$4)</f>
        <v>-0.0980922073949068</v>
      </c>
      <c r="E96" s="19" t="n">
        <f aca="false">IF(E$4=0,0,E48/E$4)</f>
        <v>0.0123907347250469</v>
      </c>
      <c r="F96" s="19" t="n">
        <f aca="false">IF(F$4=0,0,F48/F$4)</f>
        <v>0.0187299482106951</v>
      </c>
      <c r="G96" s="19" t="n">
        <f aca="false">IF(G$4=0,0,G48/G$4)</f>
        <v>-0.0147390704890941</v>
      </c>
      <c r="H96" s="19" t="n">
        <f aca="false">IF(H$4=0,0,H48/H$4)</f>
        <v>-0.00686808573080505</v>
      </c>
    </row>
  </sheetData>
  <mergeCells count="3">
    <mergeCell ref="A1:H1"/>
    <mergeCell ref="A2:H2"/>
    <mergeCell ref="A50:H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8" min="2" style="0" width="16"/>
  </cols>
  <sheetData>
    <row r="1" customFormat="false" ht="24" hidden="false" customHeight="true" outlineLevel="0" collapsed="false">
      <c r="A1" s="21" t="s">
        <v>86</v>
      </c>
      <c r="B1" s="21"/>
      <c r="C1" s="21"/>
      <c r="D1" s="21"/>
      <c r="E1" s="21"/>
      <c r="F1" s="21"/>
      <c r="G1" s="21"/>
      <c r="H1" s="21"/>
    </row>
    <row r="2" customFormat="false" ht="13.5" hidden="false" customHeight="true" outlineLevel="0" collapsed="false">
      <c r="A2" s="2" t="s">
        <v>39</v>
      </c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22" t="s">
        <v>3</v>
      </c>
      <c r="B3" s="23" t="s">
        <v>4</v>
      </c>
      <c r="C3" s="23" t="s">
        <v>5</v>
      </c>
      <c r="D3" s="23" t="s">
        <v>6</v>
      </c>
      <c r="E3" s="23" t="s">
        <v>7</v>
      </c>
      <c r="F3" s="23" t="s">
        <v>8</v>
      </c>
      <c r="G3" s="23" t="s">
        <v>9</v>
      </c>
      <c r="H3" s="23" t="s">
        <v>10</v>
      </c>
    </row>
    <row r="4" customFormat="false" ht="15" hidden="false" customHeight="false" outlineLevel="0" collapsed="false">
      <c r="A4" s="17" t="s">
        <v>12</v>
      </c>
      <c r="B4" s="18" t="n">
        <v>686121</v>
      </c>
      <c r="C4" s="18" t="n">
        <v>467743.08</v>
      </c>
      <c r="D4" s="18" t="n">
        <v>459588</v>
      </c>
      <c r="E4" s="18" t="n">
        <v>993974</v>
      </c>
      <c r="F4" s="18" t="n">
        <v>904081.58</v>
      </c>
      <c r="G4" s="18" t="n">
        <v>1400794.79</v>
      </c>
      <c r="H4" s="18" t="n">
        <f aca="false">SUM(B4:G4)</f>
        <v>4912302.45</v>
      </c>
    </row>
    <row r="5" customFormat="false" ht="15" hidden="false" customHeight="false" outlineLevel="0" collapsed="false">
      <c r="A5" s="24" t="s">
        <v>29</v>
      </c>
      <c r="B5" s="25" t="n">
        <v>719585</v>
      </c>
      <c r="C5" s="25" t="n">
        <v>512193.08</v>
      </c>
      <c r="D5" s="25" t="n">
        <v>570059</v>
      </c>
      <c r="E5" s="25" t="n">
        <v>1051126</v>
      </c>
      <c r="F5" s="25" t="n">
        <v>956351.5</v>
      </c>
      <c r="G5" s="25" t="n">
        <v>1813352.6</v>
      </c>
      <c r="H5" s="25" t="n">
        <f aca="false">SUM(B5:G5)</f>
        <v>5622667.18</v>
      </c>
    </row>
    <row r="6" customFormat="false" ht="15" hidden="false" customHeight="false" outlineLevel="0" collapsed="false">
      <c r="A6" s="26" t="s">
        <v>40</v>
      </c>
      <c r="B6" s="27" t="n">
        <v>-33464</v>
      </c>
      <c r="C6" s="27" t="n">
        <v>-44450</v>
      </c>
      <c r="D6" s="27" t="n">
        <v>-110471</v>
      </c>
      <c r="E6" s="27" t="n">
        <v>-57152</v>
      </c>
      <c r="F6" s="27" t="n">
        <v>-52269.92</v>
      </c>
      <c r="G6" s="27" t="n">
        <v>-412557.81</v>
      </c>
      <c r="H6" s="27" t="n">
        <f aca="false">SUM(B6:G6)</f>
        <v>-710364.73</v>
      </c>
    </row>
    <row r="7" customFormat="false" ht="15" hidden="false" customHeight="false" outlineLevel="0" collapsed="false">
      <c r="A7" s="17" t="s">
        <v>13</v>
      </c>
      <c r="B7" s="18" t="n">
        <v>657296.59</v>
      </c>
      <c r="C7" s="18" t="n">
        <v>526926.43</v>
      </c>
      <c r="D7" s="18" t="n">
        <v>556425.71</v>
      </c>
      <c r="E7" s="18" t="n">
        <v>999228.91</v>
      </c>
      <c r="F7" s="18" t="n">
        <v>906552.47</v>
      </c>
      <c r="G7" s="18" t="n">
        <v>1761745.24</v>
      </c>
      <c r="H7" s="18" t="n">
        <f aca="false">SUM(B7:G7)</f>
        <v>5408175.35</v>
      </c>
    </row>
    <row r="8" customFormat="false" ht="15" hidden="false" customHeight="false" outlineLevel="0" collapsed="false">
      <c r="A8" s="26" t="s">
        <v>42</v>
      </c>
      <c r="B8" s="27" t="n">
        <v>657296.59</v>
      </c>
      <c r="C8" s="27" t="n">
        <v>526926.43</v>
      </c>
      <c r="D8" s="27" t="n">
        <v>556425.71</v>
      </c>
      <c r="E8" s="27" t="n">
        <v>1000028.91</v>
      </c>
      <c r="F8" s="27" t="n">
        <v>910952.47</v>
      </c>
      <c r="G8" s="27" t="n">
        <v>1768745.24</v>
      </c>
      <c r="H8" s="27" t="n">
        <f aca="false">SUM(B8:G8)</f>
        <v>5420375.35</v>
      </c>
    </row>
    <row r="9" customFormat="false" ht="15" hidden="false" customHeight="false" outlineLevel="0" collapsed="false">
      <c r="A9" s="24" t="s">
        <v>49</v>
      </c>
      <c r="B9" s="25" t="n">
        <v>0</v>
      </c>
      <c r="C9" s="25" t="n">
        <v>0</v>
      </c>
      <c r="D9" s="25" t="n">
        <v>0</v>
      </c>
      <c r="E9" s="25" t="n">
        <v>0</v>
      </c>
      <c r="F9" s="25" t="n">
        <v>0</v>
      </c>
      <c r="G9" s="25" t="n">
        <v>0</v>
      </c>
      <c r="H9" s="25" t="n">
        <f aca="false">SUM(B9:G9)</f>
        <v>0</v>
      </c>
    </row>
    <row r="10" customFormat="false" ht="15" hidden="false" customHeight="false" outlineLevel="0" collapsed="false">
      <c r="A10" s="26" t="s">
        <v>50</v>
      </c>
      <c r="B10" s="27" t="n">
        <v>0</v>
      </c>
      <c r="C10" s="27" t="n">
        <v>0</v>
      </c>
      <c r="D10" s="27" t="n">
        <v>0</v>
      </c>
      <c r="E10" s="27" t="n">
        <v>-800</v>
      </c>
      <c r="F10" s="27" t="n">
        <v>-4400</v>
      </c>
      <c r="G10" s="27" t="n">
        <v>-7000</v>
      </c>
      <c r="H10" s="27" t="n">
        <f aca="false">SUM(B10:G10)</f>
        <v>-12200</v>
      </c>
    </row>
    <row r="11" customFormat="false" ht="15" hidden="false" customHeight="false" outlineLevel="0" collapsed="false">
      <c r="A11" s="17" t="s">
        <v>14</v>
      </c>
      <c r="B11" s="18" t="n">
        <v>28824.41</v>
      </c>
      <c r="C11" s="18" t="n">
        <v>-59183.35</v>
      </c>
      <c r="D11" s="18" t="n">
        <v>-96837.71</v>
      </c>
      <c r="E11" s="18" t="n">
        <v>-5254.91</v>
      </c>
      <c r="F11" s="18" t="n">
        <v>-2470.89</v>
      </c>
      <c r="G11" s="18" t="n">
        <v>-360950.45</v>
      </c>
      <c r="H11" s="18" t="n">
        <f aca="false">SUM(B11:G11)</f>
        <v>-495872.9</v>
      </c>
    </row>
    <row r="12" customFormat="false" ht="15" hidden="false" customHeight="false" outlineLevel="0" collapsed="false">
      <c r="A12" s="17" t="s">
        <v>15</v>
      </c>
      <c r="B12" s="18" t="n">
        <v>47003.65</v>
      </c>
      <c r="C12" s="18" t="n">
        <v>35893</v>
      </c>
      <c r="D12" s="18" t="n">
        <v>26680.55</v>
      </c>
      <c r="E12" s="18" t="n">
        <v>72288.76</v>
      </c>
      <c r="F12" s="18" t="n">
        <v>35369.15</v>
      </c>
      <c r="G12" s="18" t="n">
        <v>64837.86</v>
      </c>
      <c r="H12" s="18" t="n">
        <f aca="false">SUM(B12:G12)</f>
        <v>282072.97</v>
      </c>
    </row>
    <row r="13" customFormat="false" ht="15" hidden="false" customHeight="false" outlineLevel="0" collapsed="false">
      <c r="A13" s="24" t="s">
        <v>51</v>
      </c>
      <c r="B13" s="25" t="n">
        <v>6733.29</v>
      </c>
      <c r="C13" s="25" t="n">
        <v>11751.23</v>
      </c>
      <c r="D13" s="25" t="n">
        <v>8245.2</v>
      </c>
      <c r="E13" s="25" t="n">
        <v>24745.16</v>
      </c>
      <c r="F13" s="25" t="n">
        <v>15915.83</v>
      </c>
      <c r="G13" s="25" t="n">
        <v>26138.47</v>
      </c>
      <c r="H13" s="25" t="n">
        <f aca="false">SUM(B13:G13)</f>
        <v>93529.18</v>
      </c>
    </row>
    <row r="14" customFormat="false" ht="15" hidden="false" customHeight="false" outlineLevel="0" collapsed="false">
      <c r="A14" s="26" t="s">
        <v>52</v>
      </c>
      <c r="B14" s="27" t="n">
        <v>6248.69</v>
      </c>
      <c r="C14" s="27" t="n">
        <v>0</v>
      </c>
      <c r="D14" s="27" t="n">
        <v>0</v>
      </c>
      <c r="E14" s="27" t="n">
        <v>0</v>
      </c>
      <c r="F14" s="27" t="n">
        <v>0</v>
      </c>
      <c r="G14" s="27" t="n">
        <v>0</v>
      </c>
      <c r="H14" s="27" t="n">
        <f aca="false">SUM(B14:G14)</f>
        <v>6248.69</v>
      </c>
    </row>
    <row r="15" customFormat="false" ht="15" hidden="false" customHeight="false" outlineLevel="0" collapsed="false">
      <c r="A15" s="24" t="s">
        <v>53</v>
      </c>
      <c r="B15" s="25" t="n">
        <v>392.35</v>
      </c>
      <c r="C15" s="25" t="n">
        <v>273.03</v>
      </c>
      <c r="D15" s="25" t="n">
        <v>147.83</v>
      </c>
      <c r="E15" s="25" t="n">
        <v>476.87</v>
      </c>
      <c r="F15" s="25" t="n">
        <v>437.76</v>
      </c>
      <c r="G15" s="25" t="n">
        <v>732.73</v>
      </c>
      <c r="H15" s="25" t="n">
        <f aca="false">SUM(B15:G15)</f>
        <v>2460.57</v>
      </c>
    </row>
    <row r="16" customFormat="false" ht="15" hidden="false" customHeight="false" outlineLevel="0" collapsed="false">
      <c r="A16" s="26" t="s">
        <v>54</v>
      </c>
      <c r="B16" s="27" t="n">
        <v>467.59</v>
      </c>
      <c r="C16" s="27" t="n">
        <v>901.47</v>
      </c>
      <c r="D16" s="27" t="n">
        <v>637.28</v>
      </c>
      <c r="E16" s="27" t="n">
        <v>1857.78</v>
      </c>
      <c r="F16" s="27" t="n">
        <v>1223.67</v>
      </c>
      <c r="G16" s="27" t="n">
        <v>2021.39</v>
      </c>
      <c r="H16" s="27" t="n">
        <f aca="false">SUM(B16:G16)</f>
        <v>7109.18</v>
      </c>
    </row>
    <row r="17" customFormat="false" ht="15" hidden="false" customHeight="false" outlineLevel="0" collapsed="false">
      <c r="A17" s="24" t="s">
        <v>55</v>
      </c>
      <c r="B17" s="25" t="n">
        <v>2136.3</v>
      </c>
      <c r="C17" s="25" t="n">
        <v>3724.89</v>
      </c>
      <c r="D17" s="25" t="n">
        <v>1847.62</v>
      </c>
      <c r="E17" s="25" t="n">
        <v>6869.05</v>
      </c>
      <c r="F17" s="25" t="n">
        <v>3812.08</v>
      </c>
      <c r="G17" s="25" t="n">
        <v>9193.73</v>
      </c>
      <c r="H17" s="25" t="n">
        <f aca="false">SUM(B17:G17)</f>
        <v>27583.67</v>
      </c>
    </row>
    <row r="18" customFormat="false" ht="15" hidden="false" customHeight="false" outlineLevel="0" collapsed="false">
      <c r="A18" s="26" t="s">
        <v>56</v>
      </c>
      <c r="B18" s="27" t="n">
        <v>130.18</v>
      </c>
      <c r="C18" s="27" t="n">
        <v>0</v>
      </c>
      <c r="D18" s="27" t="n">
        <v>26.43</v>
      </c>
      <c r="E18" s="27" t="n">
        <v>637.53</v>
      </c>
      <c r="F18" s="27" t="n">
        <v>328.89</v>
      </c>
      <c r="G18" s="27" t="n">
        <v>324.2</v>
      </c>
      <c r="H18" s="27" t="n">
        <f aca="false">SUM(B18:G18)</f>
        <v>1447.23</v>
      </c>
    </row>
    <row r="19" customFormat="false" ht="15" hidden="false" customHeight="false" outlineLevel="0" collapsed="false">
      <c r="A19" s="24" t="s">
        <v>57</v>
      </c>
      <c r="B19" s="25" t="n">
        <v>9.44</v>
      </c>
      <c r="C19" s="25" t="n">
        <v>0</v>
      </c>
      <c r="D19" s="25" t="n">
        <v>27.76</v>
      </c>
      <c r="E19" s="25" t="n">
        <v>56.28</v>
      </c>
      <c r="F19" s="25" t="n">
        <v>63.91</v>
      </c>
      <c r="G19" s="25" t="n">
        <v>280.43</v>
      </c>
      <c r="H19" s="25" t="n">
        <f aca="false">SUM(B19:G19)</f>
        <v>437.82</v>
      </c>
    </row>
    <row r="20" customFormat="false" ht="15" hidden="false" customHeight="false" outlineLevel="0" collapsed="false">
      <c r="A20" s="26" t="s">
        <v>58</v>
      </c>
      <c r="B20" s="27" t="n">
        <v>273.23</v>
      </c>
      <c r="C20" s="27" t="n">
        <v>203.08</v>
      </c>
      <c r="D20" s="27" t="n">
        <v>92.18</v>
      </c>
      <c r="E20" s="27" t="n">
        <v>528.98</v>
      </c>
      <c r="F20" s="27" t="n">
        <v>224.73</v>
      </c>
      <c r="G20" s="27" t="n">
        <v>114.78</v>
      </c>
      <c r="H20" s="27" t="n">
        <f aca="false">SUM(B20:G20)</f>
        <v>1436.98</v>
      </c>
    </row>
    <row r="21" customFormat="false" ht="15" hidden="false" customHeight="false" outlineLevel="0" collapsed="false">
      <c r="A21" s="24" t="s">
        <v>59</v>
      </c>
      <c r="B21" s="25" t="n">
        <v>36.6</v>
      </c>
      <c r="C21" s="25" t="n">
        <v>27.69</v>
      </c>
      <c r="D21" s="25" t="n">
        <v>9.34</v>
      </c>
      <c r="E21" s="25" t="n">
        <v>34.55</v>
      </c>
      <c r="F21" s="25" t="n">
        <v>54.84</v>
      </c>
      <c r="G21" s="25" t="n">
        <v>307.14</v>
      </c>
      <c r="H21" s="25" t="n">
        <f aca="false">SUM(B21:G21)</f>
        <v>470.16</v>
      </c>
    </row>
    <row r="22" customFormat="false" ht="15" hidden="false" customHeight="false" outlineLevel="0" collapsed="false">
      <c r="A22" s="26" t="s">
        <v>60</v>
      </c>
      <c r="B22" s="27" t="n">
        <v>5966.9</v>
      </c>
      <c r="C22" s="27" t="n">
        <v>4231.5</v>
      </c>
      <c r="D22" s="27" t="n">
        <v>2447.31</v>
      </c>
      <c r="E22" s="27" t="n">
        <v>7271.69</v>
      </c>
      <c r="F22" s="27" t="n">
        <v>3865.18</v>
      </c>
      <c r="G22" s="27" t="n">
        <v>7019</v>
      </c>
      <c r="H22" s="27" t="n">
        <f aca="false">SUM(B22:G22)</f>
        <v>30801.58</v>
      </c>
    </row>
    <row r="23" customFormat="false" ht="15" hidden="false" customHeight="false" outlineLevel="0" collapsed="false">
      <c r="A23" s="24" t="s">
        <v>61</v>
      </c>
      <c r="B23" s="25" t="n">
        <v>4095.25</v>
      </c>
      <c r="C23" s="25" t="n">
        <v>3159.23</v>
      </c>
      <c r="D23" s="25" t="n">
        <v>1615.13</v>
      </c>
      <c r="E23" s="25" t="n">
        <v>8568.21</v>
      </c>
      <c r="F23" s="25" t="n">
        <v>3276.77</v>
      </c>
      <c r="G23" s="25" t="n">
        <v>6080.71</v>
      </c>
      <c r="H23" s="25" t="n">
        <f aca="false">SUM(B23:G23)</f>
        <v>26795.3</v>
      </c>
    </row>
    <row r="24" customFormat="false" ht="15" hidden="false" customHeight="false" outlineLevel="0" collapsed="false">
      <c r="A24" s="26" t="s">
        <v>62</v>
      </c>
      <c r="B24" s="27" t="n">
        <v>1508.31</v>
      </c>
      <c r="C24" s="27" t="n">
        <v>1216.14</v>
      </c>
      <c r="D24" s="27" t="n">
        <v>843.43</v>
      </c>
      <c r="E24" s="27" t="n">
        <v>4698.59</v>
      </c>
      <c r="F24" s="27" t="n">
        <v>4135.41</v>
      </c>
      <c r="G24" s="27" t="n">
        <v>5605.21</v>
      </c>
      <c r="H24" s="27" t="n">
        <f aca="false">SUM(B24:G24)</f>
        <v>18007.09</v>
      </c>
    </row>
    <row r="25" customFormat="false" ht="15" hidden="false" customHeight="false" outlineLevel="0" collapsed="false">
      <c r="A25" s="24" t="s">
        <v>63</v>
      </c>
      <c r="B25" s="25" t="n">
        <v>377.51</v>
      </c>
      <c r="C25" s="25" t="n">
        <v>259.06</v>
      </c>
      <c r="D25" s="25" t="n">
        <v>143.82</v>
      </c>
      <c r="E25" s="25" t="n">
        <v>335.05</v>
      </c>
      <c r="F25" s="25" t="n">
        <v>174.38</v>
      </c>
      <c r="G25" s="25" t="n">
        <v>354.79</v>
      </c>
      <c r="H25" s="25" t="n">
        <f aca="false">SUM(B25:G25)</f>
        <v>1644.61</v>
      </c>
    </row>
    <row r="26" customFormat="false" ht="15" hidden="false" customHeight="false" outlineLevel="0" collapsed="false">
      <c r="A26" s="26" t="s">
        <v>64</v>
      </c>
      <c r="B26" s="27" t="n">
        <v>298.21</v>
      </c>
      <c r="C26" s="27" t="n">
        <v>191.18</v>
      </c>
      <c r="D26" s="27" t="n">
        <v>122.58</v>
      </c>
      <c r="E26" s="27" t="n">
        <v>320.52</v>
      </c>
      <c r="F26" s="27" t="n">
        <v>170.37</v>
      </c>
      <c r="G26" s="27" t="n">
        <v>265.97</v>
      </c>
      <c r="H26" s="27" t="n">
        <f aca="false">SUM(B26:G26)</f>
        <v>1368.83</v>
      </c>
    </row>
    <row r="27" customFormat="false" ht="15" hidden="false" customHeight="false" outlineLevel="0" collapsed="false">
      <c r="A27" s="24" t="s">
        <v>65</v>
      </c>
      <c r="B27" s="25" t="n">
        <v>773.82</v>
      </c>
      <c r="C27" s="25" t="n">
        <v>376.55</v>
      </c>
      <c r="D27" s="25" t="n">
        <v>172.38</v>
      </c>
      <c r="E27" s="25" t="n">
        <v>886.93</v>
      </c>
      <c r="F27" s="25" t="n">
        <v>69.57</v>
      </c>
      <c r="G27" s="25" t="n">
        <v>72.41</v>
      </c>
      <c r="H27" s="25" t="n">
        <f aca="false">SUM(B27:G27)</f>
        <v>2351.66</v>
      </c>
    </row>
    <row r="28" customFormat="false" ht="15" hidden="false" customHeight="false" outlineLevel="0" collapsed="false">
      <c r="A28" s="26" t="s">
        <v>66</v>
      </c>
      <c r="B28" s="27" t="n">
        <v>13404.34</v>
      </c>
      <c r="C28" s="27" t="n">
        <v>7485.93</v>
      </c>
      <c r="D28" s="27" t="n">
        <v>8190.98</v>
      </c>
      <c r="E28" s="27" t="n">
        <v>8488.46</v>
      </c>
      <c r="F28" s="27" t="n">
        <v>0</v>
      </c>
      <c r="G28" s="27" t="n">
        <v>0</v>
      </c>
      <c r="H28" s="27" t="n">
        <f aca="false">SUM(B28:G28)</f>
        <v>37569.71</v>
      </c>
    </row>
    <row r="29" customFormat="false" ht="15" hidden="false" customHeight="false" outlineLevel="0" collapsed="false">
      <c r="A29" s="24" t="s">
        <v>67</v>
      </c>
      <c r="B29" s="25" t="n">
        <v>0</v>
      </c>
      <c r="C29" s="25" t="n">
        <v>0</v>
      </c>
      <c r="D29" s="25" t="n">
        <v>0</v>
      </c>
      <c r="E29" s="25" t="n">
        <v>0</v>
      </c>
      <c r="F29" s="25" t="n">
        <v>0</v>
      </c>
      <c r="G29" s="25" t="n">
        <v>0</v>
      </c>
      <c r="H29" s="25" t="n">
        <f aca="false">SUM(B29:G29)</f>
        <v>0</v>
      </c>
    </row>
    <row r="30" customFormat="false" ht="15" hidden="false" customHeight="false" outlineLevel="0" collapsed="false">
      <c r="A30" s="26" t="s">
        <v>68</v>
      </c>
      <c r="B30" s="27" t="n">
        <v>341.71</v>
      </c>
      <c r="C30" s="27" t="n">
        <v>242.33</v>
      </c>
      <c r="D30" s="27" t="n">
        <v>140.15</v>
      </c>
      <c r="E30" s="27" t="n">
        <v>366.46</v>
      </c>
      <c r="F30" s="27" t="n">
        <v>194.79</v>
      </c>
      <c r="G30" s="27" t="n">
        <v>304.1</v>
      </c>
      <c r="H30" s="27" t="n">
        <f aca="false">SUM(B30:G30)</f>
        <v>1589.54</v>
      </c>
    </row>
    <row r="31" customFormat="false" ht="15" hidden="false" customHeight="false" outlineLevel="0" collapsed="false">
      <c r="A31" s="24" t="s">
        <v>69</v>
      </c>
      <c r="B31" s="25" t="n">
        <v>147.2</v>
      </c>
      <c r="C31" s="25" t="n">
        <v>44.34</v>
      </c>
      <c r="D31" s="25" t="n">
        <v>81.78</v>
      </c>
      <c r="E31" s="25" t="n">
        <v>316.14</v>
      </c>
      <c r="F31" s="25" t="n">
        <v>105.6</v>
      </c>
      <c r="G31" s="25" t="n">
        <v>194.25</v>
      </c>
      <c r="H31" s="25" t="n">
        <f aca="false">SUM(B31:G31)</f>
        <v>889.31</v>
      </c>
    </row>
    <row r="32" customFormat="false" ht="15" hidden="false" customHeight="false" outlineLevel="0" collapsed="false">
      <c r="A32" s="26" t="s">
        <v>70</v>
      </c>
      <c r="B32" s="27" t="n">
        <v>37.08</v>
      </c>
      <c r="C32" s="27" t="n">
        <v>71.24</v>
      </c>
      <c r="D32" s="27" t="n">
        <v>57.12</v>
      </c>
      <c r="E32" s="27" t="n">
        <v>116.49</v>
      </c>
      <c r="F32" s="27" t="n">
        <v>95.31</v>
      </c>
      <c r="G32" s="27" t="n">
        <v>98.57</v>
      </c>
      <c r="H32" s="27" t="n">
        <f aca="false">SUM(B32:G32)</f>
        <v>475.81</v>
      </c>
    </row>
    <row r="33" customFormat="false" ht="15" hidden="false" customHeight="false" outlineLevel="0" collapsed="false">
      <c r="A33" s="24" t="s">
        <v>71</v>
      </c>
      <c r="B33" s="25" t="n">
        <v>35.98</v>
      </c>
      <c r="C33" s="25" t="n">
        <v>0</v>
      </c>
      <c r="D33" s="25" t="n">
        <v>30.17</v>
      </c>
      <c r="E33" s="25" t="n">
        <v>12.22</v>
      </c>
      <c r="F33" s="25" t="n">
        <v>0</v>
      </c>
      <c r="G33" s="25" t="n">
        <v>5.79</v>
      </c>
      <c r="H33" s="25" t="n">
        <f aca="false">SUM(B33:G33)</f>
        <v>84.16</v>
      </c>
    </row>
    <row r="34" customFormat="false" ht="15" hidden="false" customHeight="false" outlineLevel="0" collapsed="false">
      <c r="A34" s="26" t="s">
        <v>72</v>
      </c>
      <c r="B34" s="27" t="n">
        <v>207.64</v>
      </c>
      <c r="C34" s="27" t="n">
        <v>131.14</v>
      </c>
      <c r="D34" s="27" t="n">
        <v>232.82</v>
      </c>
      <c r="E34" s="27" t="n">
        <v>559.57</v>
      </c>
      <c r="F34" s="27" t="n">
        <v>168.19</v>
      </c>
      <c r="G34" s="27" t="n">
        <v>573.09</v>
      </c>
      <c r="H34" s="27" t="n">
        <f aca="false">SUM(B34:G34)</f>
        <v>1872.45</v>
      </c>
    </row>
    <row r="35" customFormat="false" ht="15" hidden="false" customHeight="false" outlineLevel="0" collapsed="false">
      <c r="A35" s="24" t="s">
        <v>73</v>
      </c>
      <c r="B35" s="25" t="n">
        <v>250.86</v>
      </c>
      <c r="C35" s="25" t="n">
        <v>150.58</v>
      </c>
      <c r="D35" s="25" t="n">
        <v>180.69</v>
      </c>
      <c r="E35" s="25" t="n">
        <v>944.55</v>
      </c>
      <c r="F35" s="25" t="n">
        <v>86.69</v>
      </c>
      <c r="G35" s="25" t="n">
        <v>754.52</v>
      </c>
      <c r="H35" s="25" t="n">
        <f aca="false">SUM(B35:G35)</f>
        <v>2367.89</v>
      </c>
    </row>
    <row r="36" customFormat="false" ht="15" hidden="false" customHeight="false" outlineLevel="0" collapsed="false">
      <c r="A36" s="26" t="s">
        <v>74</v>
      </c>
      <c r="B36" s="27" t="n">
        <v>0</v>
      </c>
      <c r="C36" s="27" t="n">
        <v>576.97</v>
      </c>
      <c r="D36" s="27" t="n">
        <v>540.57</v>
      </c>
      <c r="E36" s="27" t="n">
        <v>2753.71</v>
      </c>
      <c r="F36" s="27" t="n">
        <v>222.62</v>
      </c>
      <c r="G36" s="27" t="n">
        <v>1559.65</v>
      </c>
      <c r="H36" s="27" t="n">
        <f aca="false">SUM(B36:G36)</f>
        <v>5653.52</v>
      </c>
    </row>
    <row r="37" customFormat="false" ht="15" hidden="false" customHeight="false" outlineLevel="0" collapsed="false">
      <c r="A37" s="24" t="s">
        <v>75</v>
      </c>
      <c r="B37" s="25" t="n">
        <v>34.14</v>
      </c>
      <c r="C37" s="25" t="n">
        <v>24.21</v>
      </c>
      <c r="D37" s="25" t="n">
        <v>14</v>
      </c>
      <c r="E37" s="25" t="n">
        <v>36.61</v>
      </c>
      <c r="F37" s="25" t="n">
        <v>19.46</v>
      </c>
      <c r="G37" s="25" t="n">
        <v>30.38</v>
      </c>
      <c r="H37" s="25" t="n">
        <f aca="false">SUM(B37:G37)</f>
        <v>158.8</v>
      </c>
    </row>
    <row r="38" customFormat="false" ht="15" hidden="false" customHeight="false" outlineLevel="0" collapsed="false">
      <c r="A38" s="26" t="s">
        <v>76</v>
      </c>
      <c r="B38" s="27" t="n">
        <v>2750.44</v>
      </c>
      <c r="C38" s="27" t="n">
        <v>593.87</v>
      </c>
      <c r="D38" s="27" t="n">
        <v>434.21</v>
      </c>
      <c r="E38" s="27" t="n">
        <v>883.83</v>
      </c>
      <c r="F38" s="27" t="n">
        <v>533.88</v>
      </c>
      <c r="G38" s="27" t="n">
        <v>1387.38</v>
      </c>
      <c r="H38" s="27" t="n">
        <f aca="false">SUM(B38:G38)</f>
        <v>6583.61</v>
      </c>
    </row>
    <row r="39" customFormat="false" ht="15" hidden="false" customHeight="false" outlineLevel="0" collapsed="false">
      <c r="A39" s="17" t="s">
        <v>16</v>
      </c>
      <c r="B39" s="18" t="n">
        <v>-18179.24</v>
      </c>
      <c r="C39" s="18" t="n">
        <v>-95076.35</v>
      </c>
      <c r="D39" s="18" t="n">
        <v>-123518.26</v>
      </c>
      <c r="E39" s="18" t="n">
        <v>-77543.67</v>
      </c>
      <c r="F39" s="18" t="n">
        <v>-37840.05</v>
      </c>
      <c r="G39" s="18" t="n">
        <v>-425788.31</v>
      </c>
      <c r="H39" s="18" t="n">
        <f aca="false">SUM(B39:G39)</f>
        <v>-777945.88</v>
      </c>
    </row>
    <row r="40" customFormat="false" ht="15" hidden="false" customHeight="false" outlineLevel="0" collapsed="false">
      <c r="A40" s="17" t="s">
        <v>17</v>
      </c>
      <c r="B40" s="18" t="n">
        <v>-333.1</v>
      </c>
      <c r="C40" s="18" t="n">
        <v>2226.27</v>
      </c>
      <c r="D40" s="18" t="n">
        <v>1053.61</v>
      </c>
      <c r="E40" s="18" t="n">
        <v>4530.56</v>
      </c>
      <c r="F40" s="18" t="n">
        <v>-3111.69</v>
      </c>
      <c r="G40" s="18" t="n">
        <v>-14279.01</v>
      </c>
      <c r="H40" s="18" t="n">
        <f aca="false">SUM(B40:G40)</f>
        <v>-9913.36</v>
      </c>
    </row>
    <row r="41" customFormat="false" ht="15" hidden="false" customHeight="false" outlineLevel="0" collapsed="false">
      <c r="A41" s="24" t="s">
        <v>77</v>
      </c>
      <c r="B41" s="25" t="n">
        <v>0</v>
      </c>
      <c r="C41" s="25" t="n">
        <v>4228.73</v>
      </c>
      <c r="D41" s="25" t="n">
        <v>2084.74</v>
      </c>
      <c r="E41" s="25" t="n">
        <v>5380.39</v>
      </c>
      <c r="F41" s="25" t="n">
        <v>2118.03</v>
      </c>
      <c r="G41" s="25" t="n">
        <v>444.28</v>
      </c>
      <c r="H41" s="25" t="n">
        <f aca="false">SUM(B41:G41)</f>
        <v>14256.17</v>
      </c>
    </row>
    <row r="42" customFormat="false" ht="15" hidden="false" customHeight="false" outlineLevel="0" collapsed="false">
      <c r="A42" s="26" t="s">
        <v>78</v>
      </c>
      <c r="B42" s="27" t="n">
        <v>236.25</v>
      </c>
      <c r="C42" s="27" t="n">
        <v>349.9</v>
      </c>
      <c r="D42" s="27" t="n">
        <v>73.72</v>
      </c>
      <c r="E42" s="27" t="n">
        <v>293.54</v>
      </c>
      <c r="F42" s="27" t="n">
        <v>30.13</v>
      </c>
      <c r="G42" s="27" t="n">
        <v>77.26</v>
      </c>
      <c r="H42" s="27" t="n">
        <f aca="false">SUM(B42:G42)</f>
        <v>1060.8</v>
      </c>
    </row>
    <row r="43" customFormat="false" ht="15" hidden="false" customHeight="false" outlineLevel="0" collapsed="false">
      <c r="A43" s="24" t="s">
        <v>79</v>
      </c>
      <c r="B43" s="25" t="n">
        <v>0.8</v>
      </c>
      <c r="C43" s="25" t="n">
        <v>5.67</v>
      </c>
      <c r="D43" s="25" t="n">
        <v>1.78</v>
      </c>
      <c r="E43" s="25" t="n">
        <v>29.86</v>
      </c>
      <c r="F43" s="25" t="n">
        <v>48.38</v>
      </c>
      <c r="G43" s="25" t="n">
        <v>0.34</v>
      </c>
      <c r="H43" s="25" t="n">
        <f aca="false">SUM(B43:G43)</f>
        <v>86.83</v>
      </c>
    </row>
    <row r="44" customFormat="false" ht="15" hidden="false" customHeight="false" outlineLevel="0" collapsed="false">
      <c r="A44" s="26" t="s">
        <v>80</v>
      </c>
      <c r="B44" s="27" t="n">
        <v>0</v>
      </c>
      <c r="C44" s="27" t="n">
        <v>0</v>
      </c>
      <c r="D44" s="27" t="n">
        <v>0</v>
      </c>
      <c r="E44" s="27" t="n">
        <v>0</v>
      </c>
      <c r="F44" s="27" t="n">
        <v>0</v>
      </c>
      <c r="G44" s="27" t="n">
        <v>0</v>
      </c>
      <c r="H44" s="27" t="n">
        <f aca="false">SUM(B44:G44)</f>
        <v>0</v>
      </c>
    </row>
    <row r="45" customFormat="false" ht="15" hidden="false" customHeight="false" outlineLevel="0" collapsed="false">
      <c r="A45" s="24" t="s">
        <v>81</v>
      </c>
      <c r="B45" s="25" t="n">
        <v>570.16</v>
      </c>
      <c r="C45" s="25" t="n">
        <v>2358.03</v>
      </c>
      <c r="D45" s="25" t="n">
        <v>1106.63</v>
      </c>
      <c r="E45" s="25" t="n">
        <v>1173.22</v>
      </c>
      <c r="F45" s="25" t="n">
        <v>5308.23</v>
      </c>
      <c r="G45" s="25" t="n">
        <v>14800.89</v>
      </c>
      <c r="H45" s="25" t="n">
        <f aca="false">SUM(B45:G45)</f>
        <v>25317.16</v>
      </c>
    </row>
    <row r="46" customFormat="false" ht="15" hidden="false" customHeight="false" outlineLevel="0" collapsed="false">
      <c r="A46" s="17" t="s">
        <v>82</v>
      </c>
      <c r="B46" s="18" t="n">
        <v>-18512.35</v>
      </c>
      <c r="C46" s="18" t="n">
        <v>-92850.07</v>
      </c>
      <c r="D46" s="18" t="n">
        <v>-122464.65</v>
      </c>
      <c r="E46" s="18" t="n">
        <v>-73013.11</v>
      </c>
      <c r="F46" s="18" t="n">
        <v>-40951.74</v>
      </c>
      <c r="G46" s="18" t="n">
        <v>-440067.32</v>
      </c>
      <c r="H46" s="18" t="n">
        <f aca="false">SUM(B46:G46)</f>
        <v>-787859.24</v>
      </c>
    </row>
    <row r="47" customFormat="false" ht="15" hidden="false" customHeight="false" outlineLevel="0" collapsed="false">
      <c r="A47" s="24" t="s">
        <v>83</v>
      </c>
      <c r="B47" s="25" t="n">
        <v>0</v>
      </c>
      <c r="C47" s="25" t="n">
        <v>0</v>
      </c>
      <c r="D47" s="25" t="n">
        <v>0</v>
      </c>
      <c r="E47" s="25" t="n">
        <v>0</v>
      </c>
      <c r="F47" s="25" t="n">
        <v>0</v>
      </c>
      <c r="G47" s="25" t="n">
        <v>0</v>
      </c>
      <c r="H47" s="25" t="n">
        <f aca="false">SUM(B47:G47)</f>
        <v>0</v>
      </c>
    </row>
    <row r="48" customFormat="false" ht="15" hidden="false" customHeight="false" outlineLevel="0" collapsed="false">
      <c r="A48" s="11" t="s">
        <v>18</v>
      </c>
      <c r="B48" s="28" t="n">
        <v>-18512.35</v>
      </c>
      <c r="C48" s="28" t="n">
        <v>-92850.07</v>
      </c>
      <c r="D48" s="28" t="n">
        <v>-122464.65</v>
      </c>
      <c r="E48" s="28" t="n">
        <v>-73013.11</v>
      </c>
      <c r="F48" s="28" t="n">
        <v>-40951.74</v>
      </c>
      <c r="G48" s="28" t="n">
        <v>-440067.32</v>
      </c>
      <c r="H48" s="28" t="n">
        <f aca="false">SUM(B48:G48)</f>
        <v>-787859.24</v>
      </c>
    </row>
    <row r="50" customFormat="false" ht="15" hidden="false" customHeight="false" outlineLevel="0" collapsed="false">
      <c r="A50" s="3" t="s">
        <v>84</v>
      </c>
      <c r="B50" s="3"/>
      <c r="C50" s="3"/>
      <c r="D50" s="3"/>
      <c r="E50" s="3"/>
      <c r="F50" s="3"/>
      <c r="G50" s="3"/>
      <c r="H50" s="3"/>
    </row>
    <row r="51" customFormat="false" ht="15" hidden="false" customHeight="false" outlineLevel="0" collapsed="false">
      <c r="A51" s="22" t="s">
        <v>3</v>
      </c>
      <c r="B51" s="23" t="s">
        <v>4</v>
      </c>
      <c r="C51" s="23" t="s">
        <v>5</v>
      </c>
      <c r="D51" s="23" t="s">
        <v>6</v>
      </c>
      <c r="E51" s="23" t="s">
        <v>7</v>
      </c>
      <c r="F51" s="23" t="s">
        <v>8</v>
      </c>
      <c r="G51" s="23" t="s">
        <v>9</v>
      </c>
      <c r="H51" s="23" t="s">
        <v>10</v>
      </c>
    </row>
    <row r="52" customFormat="false" ht="15" hidden="false" customHeight="false" outlineLevel="0" collapsed="false">
      <c r="A52" s="17" t="s">
        <v>12</v>
      </c>
      <c r="B52" s="19" t="n">
        <f aca="false">IF(B$4=0,0,B4/B$4)</f>
        <v>1</v>
      </c>
      <c r="C52" s="19" t="n">
        <f aca="false">IF(C$4=0,0,C4/C$4)</f>
        <v>1</v>
      </c>
      <c r="D52" s="19" t="n">
        <f aca="false">IF(D$4=0,0,D4/D$4)</f>
        <v>1</v>
      </c>
      <c r="E52" s="19" t="n">
        <f aca="false">IF(E$4=0,0,E4/E$4)</f>
        <v>1</v>
      </c>
      <c r="F52" s="19" t="n">
        <f aca="false">IF(F$4=0,0,F4/F$4)</f>
        <v>1</v>
      </c>
      <c r="G52" s="19" t="n">
        <f aca="false">IF(G$4=0,0,G4/G$4)</f>
        <v>1</v>
      </c>
      <c r="H52" s="19" t="n">
        <f aca="false">IF(H$4=0,0,H4/H$4)</f>
        <v>1</v>
      </c>
    </row>
    <row r="53" customFormat="false" ht="15" hidden="false" customHeight="false" outlineLevel="0" collapsed="false">
      <c r="A53" s="24" t="s">
        <v>29</v>
      </c>
      <c r="B53" s="29" t="n">
        <f aca="false">IF(B$4=0,0,B5/B$4)</f>
        <v>1.04877273833624</v>
      </c>
      <c r="C53" s="29" t="n">
        <f aca="false">IF(C$4=0,0,C5/C$4)</f>
        <v>1.09503080195222</v>
      </c>
      <c r="D53" s="29" t="n">
        <f aca="false">IF(D$4=0,0,D5/D$4)</f>
        <v>1.24036963541259</v>
      </c>
      <c r="E53" s="29" t="n">
        <f aca="false">IF(E$4=0,0,E5/E$4)</f>
        <v>1.05749848587589</v>
      </c>
      <c r="F53" s="29" t="n">
        <f aca="false">IF(F$4=0,0,F5/F$4)</f>
        <v>1.05781549050032</v>
      </c>
      <c r="G53" s="29" t="n">
        <f aca="false">IF(G$4=0,0,G5/G$4)</f>
        <v>1.29451695062344</v>
      </c>
      <c r="H53" s="29" t="n">
        <f aca="false">IF(H$4=0,0,H5/H$4)</f>
        <v>1.1446093226609</v>
      </c>
    </row>
    <row r="54" customFormat="false" ht="15" hidden="false" customHeight="false" outlineLevel="0" collapsed="false">
      <c r="A54" s="26" t="s">
        <v>40</v>
      </c>
      <c r="B54" s="30" t="n">
        <f aca="false">IF(B$4=0,0,B6/B$4)</f>
        <v>-0.048772738336241</v>
      </c>
      <c r="C54" s="30" t="n">
        <f aca="false">IF(C$4=0,0,C6/C$4)</f>
        <v>-0.095030801952217</v>
      </c>
      <c r="D54" s="30" t="n">
        <f aca="false">IF(D$4=0,0,D6/D$4)</f>
        <v>-0.240369635412587</v>
      </c>
      <c r="E54" s="30" t="n">
        <f aca="false">IF(E$4=0,0,E6/E$4)</f>
        <v>-0.0574984858758881</v>
      </c>
      <c r="F54" s="30" t="n">
        <f aca="false">IF(F$4=0,0,F6/F$4)</f>
        <v>-0.0578154905003153</v>
      </c>
      <c r="G54" s="30" t="n">
        <f aca="false">IF(G$4=0,0,G6/G$4)</f>
        <v>-0.294516950623439</v>
      </c>
      <c r="H54" s="30" t="n">
        <f aca="false">IF(H$4=0,0,H6/H$4)</f>
        <v>-0.144609322660904</v>
      </c>
    </row>
    <row r="55" customFormat="false" ht="15" hidden="false" customHeight="false" outlineLevel="0" collapsed="false">
      <c r="A55" s="17" t="s">
        <v>13</v>
      </c>
      <c r="B55" s="19" t="n">
        <f aca="false">IF(B$4=0,0,B7/B$4)</f>
        <v>0.957989319668105</v>
      </c>
      <c r="C55" s="19" t="n">
        <f aca="false">IF(C$4=0,0,C7/C$4)</f>
        <v>1.12652961108479</v>
      </c>
      <c r="D55" s="19" t="n">
        <f aca="false">IF(D$4=0,0,D7/D$4)</f>
        <v>1.21070547969051</v>
      </c>
      <c r="E55" s="19" t="n">
        <f aca="false">IF(E$4=0,0,E7/E$4)</f>
        <v>1.00528676806436</v>
      </c>
      <c r="F55" s="19" t="n">
        <f aca="false">IF(F$4=0,0,F7/F$4)</f>
        <v>1.00273303875962</v>
      </c>
      <c r="G55" s="19" t="n">
        <f aca="false">IF(G$4=0,0,G7/G$4)</f>
        <v>1.25767546579753</v>
      </c>
      <c r="H55" s="19" t="n">
        <f aca="false">IF(H$4=0,0,H7/H$4)</f>
        <v>1.10094510772642</v>
      </c>
    </row>
    <row r="56" customFormat="false" ht="15" hidden="false" customHeight="false" outlineLevel="0" collapsed="false">
      <c r="A56" s="26" t="s">
        <v>42</v>
      </c>
      <c r="B56" s="30" t="n">
        <f aca="false">IF(B$4=0,0,B8/B$4)</f>
        <v>0.957989319668105</v>
      </c>
      <c r="C56" s="30" t="n">
        <f aca="false">IF(C$4=0,0,C8/C$4)</f>
        <v>1.12652961108479</v>
      </c>
      <c r="D56" s="30" t="n">
        <f aca="false">IF(D$4=0,0,D8/D$4)</f>
        <v>1.21070547969051</v>
      </c>
      <c r="E56" s="30" t="n">
        <f aca="false">IF(E$4=0,0,E8/E$4)</f>
        <v>1.00609161809061</v>
      </c>
      <c r="F56" s="30" t="n">
        <f aca="false">IF(F$4=0,0,F8/F$4)</f>
        <v>1.00759985619882</v>
      </c>
      <c r="G56" s="30" t="n">
        <f aca="false">IF(G$4=0,0,G8/G$4)</f>
        <v>1.26267262887236</v>
      </c>
      <c r="H56" s="30" t="n">
        <f aca="false">IF(H$4=0,0,H8/H$4)</f>
        <v>1.10342866815947</v>
      </c>
    </row>
    <row r="57" customFormat="false" ht="15" hidden="false" customHeight="false" outlineLevel="0" collapsed="false">
      <c r="A57" s="24" t="s">
        <v>49</v>
      </c>
      <c r="B57" s="29" t="n">
        <f aca="false">IF(B$4=0,0,B9/B$4)</f>
        <v>0</v>
      </c>
      <c r="C57" s="29" t="n">
        <f aca="false">IF(C$4=0,0,C9/C$4)</f>
        <v>0</v>
      </c>
      <c r="D57" s="29" t="n">
        <f aca="false">IF(D$4=0,0,D9/D$4)</f>
        <v>0</v>
      </c>
      <c r="E57" s="29" t="n">
        <f aca="false">IF(E$4=0,0,E9/E$4)</f>
        <v>0</v>
      </c>
      <c r="F57" s="29" t="n">
        <f aca="false">IF(F$4=0,0,F9/F$4)</f>
        <v>0</v>
      </c>
      <c r="G57" s="29" t="n">
        <f aca="false">IF(G$4=0,0,G9/G$4)</f>
        <v>0</v>
      </c>
      <c r="H57" s="29" t="n">
        <f aca="false">IF(H$4=0,0,H9/H$4)</f>
        <v>0</v>
      </c>
    </row>
    <row r="58" customFormat="false" ht="15" hidden="false" customHeight="false" outlineLevel="0" collapsed="false">
      <c r="A58" s="26" t="s">
        <v>50</v>
      </c>
      <c r="B58" s="30" t="n">
        <f aca="false">IF(B$4=0,0,B10/B$4)</f>
        <v>0</v>
      </c>
      <c r="C58" s="30" t="n">
        <f aca="false">IF(C$4=0,0,C10/C$4)</f>
        <v>0</v>
      </c>
      <c r="D58" s="30" t="n">
        <f aca="false">IF(D$4=0,0,D10/D$4)</f>
        <v>0</v>
      </c>
      <c r="E58" s="30" t="n">
        <f aca="false">IF(E$4=0,0,E10/E$4)</f>
        <v>-0.000804850026258232</v>
      </c>
      <c r="F58" s="30" t="n">
        <f aca="false">IF(F$4=0,0,F10/F$4)</f>
        <v>-0.00486681743919614</v>
      </c>
      <c r="G58" s="30" t="n">
        <f aca="false">IF(G$4=0,0,G10/G$4)</f>
        <v>-0.0049971630748284</v>
      </c>
      <c r="H58" s="30" t="n">
        <f aca="false">IF(H$4=0,0,H10/H$4)</f>
        <v>-0.0024835604330511</v>
      </c>
    </row>
    <row r="59" customFormat="false" ht="15" hidden="false" customHeight="false" outlineLevel="0" collapsed="false">
      <c r="A59" s="17" t="s">
        <v>14</v>
      </c>
      <c r="B59" s="19" t="n">
        <f aca="false">IF(B$4=0,0,B11/B$4)</f>
        <v>0.0420106803318948</v>
      </c>
      <c r="C59" s="19" t="n">
        <f aca="false">IF(C$4=0,0,C11/C$4)</f>
        <v>-0.126529611084786</v>
      </c>
      <c r="D59" s="19" t="n">
        <f aca="false">IF(D$4=0,0,D11/D$4)</f>
        <v>-0.210705479690505</v>
      </c>
      <c r="E59" s="19" t="n">
        <f aca="false">IF(E$4=0,0,E11/E$4)</f>
        <v>-0.00528676806435581</v>
      </c>
      <c r="F59" s="19" t="n">
        <f aca="false">IF(F$4=0,0,F11/F$4)</f>
        <v>-0.00273303875962167</v>
      </c>
      <c r="G59" s="19" t="n">
        <f aca="false">IF(G$4=0,0,G11/G$4)</f>
        <v>-0.257675465797528</v>
      </c>
      <c r="H59" s="19" t="n">
        <f aca="false">IF(H$4=0,0,H11/H$4)</f>
        <v>-0.100945107726419</v>
      </c>
    </row>
    <row r="60" customFormat="false" ht="15" hidden="false" customHeight="false" outlineLevel="0" collapsed="false">
      <c r="A60" s="17" t="s">
        <v>15</v>
      </c>
      <c r="B60" s="19" t="n">
        <f aca="false">IF(B$4=0,0,B12/B$4)</f>
        <v>0.0685063567504857</v>
      </c>
      <c r="C60" s="19" t="n">
        <f aca="false">IF(C$4=0,0,C12/C$4)</f>
        <v>0.076736570854239</v>
      </c>
      <c r="D60" s="19" t="n">
        <f aca="false">IF(D$4=0,0,D12/D$4)</f>
        <v>0.0580531911190022</v>
      </c>
      <c r="E60" s="19" t="n">
        <f aca="false">IF(E$4=0,0,E12/E$4)</f>
        <v>0.0727270129802188</v>
      </c>
      <c r="F60" s="19" t="n">
        <f aca="false">IF(F$4=0,0,F12/F$4)</f>
        <v>0.03912163546126</v>
      </c>
      <c r="G60" s="19" t="n">
        <f aca="false">IF(G$4=0,0,G12/G$4)</f>
        <v>0.0462864799775562</v>
      </c>
      <c r="H60" s="19" t="n">
        <f aca="false">IF(H$4=0,0,H12/H$4)</f>
        <v>0.0574217432397714</v>
      </c>
    </row>
    <row r="61" customFormat="false" ht="15" hidden="false" customHeight="false" outlineLevel="0" collapsed="false">
      <c r="A61" s="24" t="s">
        <v>51</v>
      </c>
      <c r="B61" s="29" t="n">
        <f aca="false">IF(B$4=0,0,B13/B$4)</f>
        <v>0.00981356058187987</v>
      </c>
      <c r="C61" s="29" t="n">
        <f aca="false">IF(C$4=0,0,C13/C$4)</f>
        <v>0.0251232578363319</v>
      </c>
      <c r="D61" s="29" t="n">
        <f aca="false">IF(D$4=0,0,D13/D$4)</f>
        <v>0.0179404161988564</v>
      </c>
      <c r="E61" s="29" t="n">
        <f aca="false">IF(E$4=0,0,E13/E$4)</f>
        <v>0.0248951783447052</v>
      </c>
      <c r="F61" s="29" t="n">
        <f aca="false">IF(F$4=0,0,F13/F$4)</f>
        <v>0.0176044179552912</v>
      </c>
      <c r="G61" s="29" t="n">
        <f aca="false">IF(G$4=0,0,G13/G$4)</f>
        <v>0.0186597424452157</v>
      </c>
      <c r="H61" s="29" t="n">
        <f aca="false">IF(H$4=0,0,H13/H$4)</f>
        <v>0.0190397844904684</v>
      </c>
    </row>
    <row r="62" customFormat="false" ht="15" hidden="false" customHeight="false" outlineLevel="0" collapsed="false">
      <c r="A62" s="26" t="s">
        <v>52</v>
      </c>
      <c r="B62" s="30" t="n">
        <f aca="false">IF(B$4=0,0,B14/B$4)</f>
        <v>0.00910727116645606</v>
      </c>
      <c r="C62" s="30" t="n">
        <f aca="false">IF(C$4=0,0,C14/C$4)</f>
        <v>0</v>
      </c>
      <c r="D62" s="30" t="n">
        <f aca="false">IF(D$4=0,0,D14/D$4)</f>
        <v>0</v>
      </c>
      <c r="E62" s="30" t="n">
        <f aca="false">IF(E$4=0,0,E14/E$4)</f>
        <v>0</v>
      </c>
      <c r="F62" s="30" t="n">
        <f aca="false">IF(F$4=0,0,F14/F$4)</f>
        <v>0</v>
      </c>
      <c r="G62" s="30" t="n">
        <f aca="false">IF(G$4=0,0,G14/G$4)</f>
        <v>0</v>
      </c>
      <c r="H62" s="30" t="n">
        <f aca="false">IF(H$4=0,0,H14/H$4)</f>
        <v>0.00127204911822968</v>
      </c>
    </row>
    <row r="63" customFormat="false" ht="15" hidden="false" customHeight="false" outlineLevel="0" collapsed="false">
      <c r="A63" s="24" t="s">
        <v>53</v>
      </c>
      <c r="B63" s="29" t="n">
        <f aca="false">IF(B$4=0,0,B15/B$4)</f>
        <v>0.000571837911971795</v>
      </c>
      <c r="C63" s="29" t="n">
        <f aca="false">IF(C$4=0,0,C15/C$4)</f>
        <v>0.000583717882047555</v>
      </c>
      <c r="D63" s="29" t="n">
        <f aca="false">IF(D$4=0,0,D15/D$4)</f>
        <v>0.000321657658598571</v>
      </c>
      <c r="E63" s="29" t="n">
        <f aca="false">IF(E$4=0,0,E15/E$4)</f>
        <v>0.000479761040027204</v>
      </c>
      <c r="F63" s="29" t="n">
        <f aca="false">IF(F$4=0,0,F15/F$4)</f>
        <v>0.000484204091405114</v>
      </c>
      <c r="G63" s="29" t="n">
        <f aca="false">IF(G$4=0,0,G15/G$4)</f>
        <v>0.000523081614259859</v>
      </c>
      <c r="H63" s="29" t="n">
        <f aca="false">IF(H$4=0,0,H15/H$4)</f>
        <v>0.000500899532356767</v>
      </c>
    </row>
    <row r="64" customFormat="false" ht="15" hidden="false" customHeight="false" outlineLevel="0" collapsed="false">
      <c r="A64" s="26" t="s">
        <v>54</v>
      </c>
      <c r="B64" s="30" t="n">
        <f aca="false">IF(B$4=0,0,B16/B$4)</f>
        <v>0.000681497869909243</v>
      </c>
      <c r="C64" s="30" t="n">
        <f aca="false">IF(C$4=0,0,C16/C$4)</f>
        <v>0.00192727597381024</v>
      </c>
      <c r="D64" s="30" t="n">
        <f aca="false">IF(D$4=0,0,D16/D$4)</f>
        <v>0.00138663324542851</v>
      </c>
      <c r="E64" s="30" t="n">
        <f aca="false">IF(E$4=0,0,E16/E$4)</f>
        <v>0.00186904285222752</v>
      </c>
      <c r="F64" s="30" t="n">
        <f aca="false">IF(F$4=0,0,F16/F$4)</f>
        <v>0.00135349511268662</v>
      </c>
      <c r="G64" s="30" t="n">
        <f aca="false">IF(G$4=0,0,G16/G$4)</f>
        <v>0.0014430307811182</v>
      </c>
      <c r="H64" s="30" t="n">
        <f aca="false">IF(H$4=0,0,H16/H$4)</f>
        <v>0.00144721952126543</v>
      </c>
    </row>
    <row r="65" customFormat="false" ht="15" hidden="false" customHeight="false" outlineLevel="0" collapsed="false">
      <c r="A65" s="24" t="s">
        <v>55</v>
      </c>
      <c r="B65" s="29" t="n">
        <f aca="false">IF(B$4=0,0,B17/B$4)</f>
        <v>0.00311359075148553</v>
      </c>
      <c r="C65" s="29" t="n">
        <f aca="false">IF(C$4=0,0,C17/C$4)</f>
        <v>0.00796353844507972</v>
      </c>
      <c r="D65" s="29" t="n">
        <f aca="false">IF(D$4=0,0,D17/D$4)</f>
        <v>0.00402016588770812</v>
      </c>
      <c r="E65" s="29" t="n">
        <f aca="false">IF(E$4=0,0,E17/E$4)</f>
        <v>0.00691069384108639</v>
      </c>
      <c r="F65" s="29" t="n">
        <f aca="false">IF(F$4=0,0,F17/F$4)</f>
        <v>0.00421652214172973</v>
      </c>
      <c r="G65" s="29" t="n">
        <f aca="false">IF(G$4=0,0,G17/G$4)</f>
        <v>0.00656322401084887</v>
      </c>
      <c r="H65" s="29" t="n">
        <f aca="false">IF(H$4=0,0,H17/H$4)</f>
        <v>0.00561522224674908</v>
      </c>
    </row>
    <row r="66" customFormat="false" ht="15" hidden="false" customHeight="false" outlineLevel="0" collapsed="false">
      <c r="A66" s="26" t="s">
        <v>56</v>
      </c>
      <c r="B66" s="30" t="n">
        <f aca="false">IF(B$4=0,0,B18/B$4)</f>
        <v>0.000189733297771093</v>
      </c>
      <c r="C66" s="30" t="n">
        <f aca="false">IF(C$4=0,0,C18/C$4)</f>
        <v>0</v>
      </c>
      <c r="D66" s="30" t="n">
        <f aca="false">IF(D$4=0,0,D18/D$4)</f>
        <v>5.75080289302593E-005</v>
      </c>
      <c r="E66" s="30" t="n">
        <f aca="false">IF(E$4=0,0,E18/E$4)</f>
        <v>0.000641395046550513</v>
      </c>
      <c r="F66" s="30" t="n">
        <f aca="false">IF(F$4=0,0,F18/F$4)</f>
        <v>0.000363783542631186</v>
      </c>
      <c r="G66" s="30" t="n">
        <f aca="false">IF(G$4=0,0,G18/G$4)</f>
        <v>0.000231440038408481</v>
      </c>
      <c r="H66" s="30" t="n">
        <f aca="false">IF(H$4=0,0,H18/H$4)</f>
        <v>0.000294613374223324</v>
      </c>
    </row>
    <row r="67" customFormat="false" ht="15" hidden="false" customHeight="false" outlineLevel="0" collapsed="false">
      <c r="A67" s="24" t="s">
        <v>57</v>
      </c>
      <c r="B67" s="29" t="n">
        <f aca="false">IF(B$4=0,0,B19/B$4)</f>
        <v>1.37585061527048E-005</v>
      </c>
      <c r="C67" s="29" t="n">
        <f aca="false">IF(C$4=0,0,C19/C$4)</f>
        <v>0</v>
      </c>
      <c r="D67" s="29" t="n">
        <f aca="false">IF(D$4=0,0,D19/D$4)</f>
        <v>6.04019252025727E-005</v>
      </c>
      <c r="E67" s="29" t="n">
        <f aca="false">IF(E$4=0,0,E19/E$4)</f>
        <v>5.66211993472666E-005</v>
      </c>
      <c r="F67" s="29" t="n">
        <f aca="false">IF(F$4=0,0,F19/F$4)</f>
        <v>7.06905233043239E-005</v>
      </c>
      <c r="G67" s="29" t="n">
        <f aca="false">IF(G$4=0,0,G19/G$4)</f>
        <v>0.000200193491582018</v>
      </c>
      <c r="H67" s="29" t="n">
        <f aca="false">IF(H$4=0,0,H19/H$4)</f>
        <v>8.91272482621668E-005</v>
      </c>
    </row>
    <row r="68" customFormat="false" ht="15" hidden="false" customHeight="false" outlineLevel="0" collapsed="false">
      <c r="A68" s="26" t="s">
        <v>58</v>
      </c>
      <c r="B68" s="30" t="n">
        <f aca="false">IF(B$4=0,0,B20/B$4)</f>
        <v>0.000398224219926223</v>
      </c>
      <c r="C68" s="30" t="n">
        <f aca="false">IF(C$4=0,0,C20/C$4)</f>
        <v>0.000434169972113751</v>
      </c>
      <c r="D68" s="30" t="n">
        <f aca="false">IF(D$4=0,0,D20/D$4)</f>
        <v>0.000200570946151771</v>
      </c>
      <c r="E68" s="30" t="n">
        <f aca="false">IF(E$4=0,0,E20/E$4)</f>
        <v>0.0005321869586126</v>
      </c>
      <c r="F68" s="30" t="n">
        <f aca="false">IF(F$4=0,0,F20/F$4)</f>
        <v>0.000248572700706943</v>
      </c>
      <c r="G68" s="30" t="n">
        <f aca="false">IF(G$4=0,0,G20/G$4)</f>
        <v>8.19391968184005E-005</v>
      </c>
      <c r="H68" s="30" t="n">
        <f aca="false">IF(H$4=0,0,H20/H$4)</f>
        <v>0.000292526776318506</v>
      </c>
    </row>
    <row r="69" customFormat="false" ht="15" hidden="false" customHeight="false" outlineLevel="0" collapsed="false">
      <c r="A69" s="24" t="s">
        <v>59</v>
      </c>
      <c r="B69" s="29" t="n">
        <f aca="false">IF(B$4=0,0,B21/B$4)</f>
        <v>5.33433607191734E-005</v>
      </c>
      <c r="C69" s="29" t="n">
        <f aca="false">IF(C$4=0,0,C21/C$4)</f>
        <v>5.91991654905937E-005</v>
      </c>
      <c r="D69" s="29" t="n">
        <f aca="false">IF(D$4=0,0,D21/D$4)</f>
        <v>2.03225497619607E-005</v>
      </c>
      <c r="E69" s="29" t="n">
        <f aca="false">IF(E$4=0,0,E21/E$4)</f>
        <v>3.47594605090274E-005</v>
      </c>
      <c r="F69" s="29" t="n">
        <f aca="false">IF(F$4=0,0,F21/F$4)</f>
        <v>6.06582428103446E-005</v>
      </c>
      <c r="G69" s="29" t="n">
        <f aca="false">IF(G$4=0,0,G21/G$4)</f>
        <v>0.000219261238114685</v>
      </c>
      <c r="H69" s="29" t="n">
        <f aca="false">IF(H$4=0,0,H21/H$4)</f>
        <v>9.57107191150252E-005</v>
      </c>
    </row>
    <row r="70" customFormat="false" ht="15" hidden="false" customHeight="false" outlineLevel="0" collapsed="false">
      <c r="A70" s="26" t="s">
        <v>60</v>
      </c>
      <c r="B70" s="30" t="n">
        <f aca="false">IF(B$4=0,0,B22/B$4)</f>
        <v>0.00869657101298459</v>
      </c>
      <c r="C70" s="30" t="n">
        <f aca="false">IF(C$4=0,0,C22/C$4)</f>
        <v>0.00904663303623861</v>
      </c>
      <c r="D70" s="30" t="n">
        <f aca="false">IF(D$4=0,0,D22/D$4)</f>
        <v>0.00532500848586125</v>
      </c>
      <c r="E70" s="30" t="n">
        <f aca="false">IF(E$4=0,0,E22/E$4)</f>
        <v>0.00731577485930215</v>
      </c>
      <c r="F70" s="30" t="n">
        <f aca="false">IF(F$4=0,0,F22/F$4)</f>
        <v>0.00427525577946185</v>
      </c>
      <c r="G70" s="30" t="n">
        <f aca="false">IF(G$4=0,0,G22/G$4)</f>
        <v>0.00501072680317436</v>
      </c>
      <c r="H70" s="30" t="n">
        <f aca="false">IF(H$4=0,0,H22/H$4)</f>
        <v>0.00627029388225067</v>
      </c>
    </row>
    <row r="71" customFormat="false" ht="15" hidden="false" customHeight="false" outlineLevel="0" collapsed="false">
      <c r="A71" s="24" t="s">
        <v>61</v>
      </c>
      <c r="B71" s="29" t="n">
        <f aca="false">IF(B$4=0,0,B23/B$4)</f>
        <v>0.0059686993985026</v>
      </c>
      <c r="C71" s="29" t="n">
        <f aca="false">IF(C$4=0,0,C23/C$4)</f>
        <v>0.0067541993352419</v>
      </c>
      <c r="D71" s="29" t="n">
        <f aca="false">IF(D$4=0,0,D23/D$4)</f>
        <v>0.00351429976413657</v>
      </c>
      <c r="E71" s="29" t="n">
        <f aca="false">IF(E$4=0,0,E23/E$4)</f>
        <v>0.00862015505435756</v>
      </c>
      <c r="F71" s="29" t="n">
        <f aca="false">IF(F$4=0,0,F23/F$4)</f>
        <v>0.00362441849550789</v>
      </c>
      <c r="G71" s="29" t="n">
        <f aca="false">IF(G$4=0,0,G23/G$4)</f>
        <v>0.00434089992581997</v>
      </c>
      <c r="H71" s="29" t="n">
        <f aca="false">IF(H$4=0,0,H23/H$4)</f>
        <v>0.00545473335014215</v>
      </c>
    </row>
    <row r="72" customFormat="false" ht="15" hidden="false" customHeight="false" outlineLevel="0" collapsed="false">
      <c r="A72" s="26" t="s">
        <v>62</v>
      </c>
      <c r="B72" s="30" t="n">
        <f aca="false">IF(B$4=0,0,B24/B$4)</f>
        <v>0.00219831487449007</v>
      </c>
      <c r="C72" s="30" t="n">
        <f aca="false">IF(C$4=0,0,C24/C$4)</f>
        <v>0.00260001708630302</v>
      </c>
      <c r="D72" s="30" t="n">
        <f aca="false">IF(D$4=0,0,D24/D$4)</f>
        <v>0.0018351871676371</v>
      </c>
      <c r="E72" s="30" t="n">
        <f aca="false">IF(E$4=0,0,E24/E$4)</f>
        <v>0.00472707535609583</v>
      </c>
      <c r="F72" s="30" t="n">
        <f aca="false">IF(F$4=0,0,F24/F$4)</f>
        <v>0.00457415579686957</v>
      </c>
      <c r="G72" s="30" t="n">
        <f aca="false">IF(G$4=0,0,G24/G$4)</f>
        <v>0.00400144977695127</v>
      </c>
      <c r="H72" s="30" t="n">
        <f aca="false">IF(H$4=0,0,H24/H$4)</f>
        <v>0.00366571280642543</v>
      </c>
    </row>
    <row r="73" customFormat="false" ht="15" hidden="false" customHeight="false" outlineLevel="0" collapsed="false">
      <c r="A73" s="24" t="s">
        <v>63</v>
      </c>
      <c r="B73" s="29" t="n">
        <f aca="false">IF(B$4=0,0,B25/B$4)</f>
        <v>0.000550209073909704</v>
      </c>
      <c r="C73" s="29" t="n">
        <f aca="false">IF(C$4=0,0,C25/C$4)</f>
        <v>0.000553851058576858</v>
      </c>
      <c r="D73" s="29" t="n">
        <f aca="false">IF(D$4=0,0,D25/D$4)</f>
        <v>0.000312932452544453</v>
      </c>
      <c r="E73" s="29" t="n">
        <f aca="false">IF(E$4=0,0,E25/E$4)</f>
        <v>0.000337081251622276</v>
      </c>
      <c r="F73" s="29" t="n">
        <f aca="false">IF(F$4=0,0,F25/F$4)</f>
        <v>0.000192880823874323</v>
      </c>
      <c r="G73" s="29" t="n">
        <f aca="false">IF(G$4=0,0,G25/G$4)</f>
        <v>0.000253277641045481</v>
      </c>
      <c r="H73" s="29" t="n">
        <f aca="false">IF(H$4=0,0,H25/H$4)</f>
        <v>0.000334794124901654</v>
      </c>
    </row>
    <row r="74" customFormat="false" ht="15" hidden="false" customHeight="false" outlineLevel="0" collapsed="false">
      <c r="A74" s="26" t="s">
        <v>64</v>
      </c>
      <c r="B74" s="30" t="n">
        <f aca="false">IF(B$4=0,0,B26/B$4)</f>
        <v>0.000434631792351495</v>
      </c>
      <c r="C74" s="30" t="n">
        <f aca="false">IF(C$4=0,0,C26/C$4)</f>
        <v>0.000408728655055677</v>
      </c>
      <c r="D74" s="30" t="n">
        <f aca="false">IF(D$4=0,0,D26/D$4)</f>
        <v>0.000266717146661793</v>
      </c>
      <c r="E74" s="30" t="n">
        <f aca="false">IF(E$4=0,0,E26/E$4)</f>
        <v>0.000322463163020361</v>
      </c>
      <c r="F74" s="30" t="n">
        <f aca="false">IF(F$4=0,0,F26/F$4)</f>
        <v>0.00018844538343542</v>
      </c>
      <c r="G74" s="30" t="n">
        <f aca="false">IF(G$4=0,0,G26/G$4)</f>
        <v>0.000189870780430301</v>
      </c>
      <c r="H74" s="30" t="n">
        <f aca="false">IF(H$4=0,0,H26/H$4)</f>
        <v>0.000278653444883061</v>
      </c>
    </row>
    <row r="75" customFormat="false" ht="15" hidden="false" customHeight="false" outlineLevel="0" collapsed="false">
      <c r="A75" s="24" t="s">
        <v>65</v>
      </c>
      <c r="B75" s="29" t="n">
        <f aca="false">IF(B$4=0,0,B27/B$4)</f>
        <v>0.00112781856261505</v>
      </c>
      <c r="C75" s="29" t="n">
        <f aca="false">IF(C$4=0,0,C27/C$4)</f>
        <v>0.000805035961194765</v>
      </c>
      <c r="D75" s="29" t="n">
        <f aca="false">IF(D$4=0,0,D27/D$4)</f>
        <v>0.000375075067234131</v>
      </c>
      <c r="E75" s="29" t="n">
        <f aca="false">IF(E$4=0,0,E27/E$4)</f>
        <v>0.000892307042236517</v>
      </c>
      <c r="F75" s="29" t="n">
        <f aca="false">IF(F$4=0,0,F27/F$4)</f>
        <v>7.69510202829262E-005</v>
      </c>
      <c r="G75" s="29" t="n">
        <f aca="false">IF(G$4=0,0,G27/G$4)</f>
        <v>5.16920826069035E-005</v>
      </c>
      <c r="H75" s="29" t="n">
        <f aca="false">IF(H$4=0,0,H27/H$4)</f>
        <v>0.000478728666228603</v>
      </c>
    </row>
    <row r="76" customFormat="false" ht="15" hidden="false" customHeight="false" outlineLevel="0" collapsed="false">
      <c r="A76" s="26" t="s">
        <v>66</v>
      </c>
      <c r="B76" s="30" t="n">
        <f aca="false">IF(B$4=0,0,B28/B$4)</f>
        <v>0.0195364083011597</v>
      </c>
      <c r="C76" s="30" t="n">
        <f aca="false">IF(C$4=0,0,C28/C$4)</f>
        <v>0.0160043629079451</v>
      </c>
      <c r="D76" s="30" t="n">
        <f aca="false">IF(D$4=0,0,D28/D$4)</f>
        <v>0.0178224409688678</v>
      </c>
      <c r="E76" s="30" t="n">
        <f aca="false">IF(E$4=0,0,E28/E$4)</f>
        <v>0.00853992156736494</v>
      </c>
      <c r="F76" s="30" t="n">
        <f aca="false">IF(F$4=0,0,F28/F$4)</f>
        <v>0</v>
      </c>
      <c r="G76" s="30" t="n">
        <f aca="false">IF(G$4=0,0,G28/G$4)</f>
        <v>0</v>
      </c>
      <c r="H76" s="30" t="n">
        <f aca="false">IF(H$4=0,0,H28/H$4)</f>
        <v>0.00764808567518069</v>
      </c>
    </row>
    <row r="77" customFormat="false" ht="15" hidden="false" customHeight="false" outlineLevel="0" collapsed="false">
      <c r="A77" s="24" t="s">
        <v>67</v>
      </c>
      <c r="B77" s="29" t="n">
        <f aca="false">IF(B$4=0,0,B29/B$4)</f>
        <v>0</v>
      </c>
      <c r="C77" s="29" t="n">
        <f aca="false">IF(C$4=0,0,C29/C$4)</f>
        <v>0</v>
      </c>
      <c r="D77" s="29" t="n">
        <f aca="false">IF(D$4=0,0,D29/D$4)</f>
        <v>0</v>
      </c>
      <c r="E77" s="29" t="n">
        <f aca="false">IF(E$4=0,0,E29/E$4)</f>
        <v>0</v>
      </c>
      <c r="F77" s="29" t="n">
        <f aca="false">IF(F$4=0,0,F29/F$4)</f>
        <v>0</v>
      </c>
      <c r="G77" s="29" t="n">
        <f aca="false">IF(G$4=0,0,G29/G$4)</f>
        <v>0</v>
      </c>
      <c r="H77" s="29" t="n">
        <f aca="false">IF(H$4=0,0,H29/H$4)</f>
        <v>0</v>
      </c>
    </row>
    <row r="78" customFormat="false" ht="15" hidden="false" customHeight="false" outlineLevel="0" collapsed="false">
      <c r="A78" s="26" t="s">
        <v>68</v>
      </c>
      <c r="B78" s="30" t="n">
        <f aca="false">IF(B$4=0,0,B30/B$4)</f>
        <v>0.000498031688288217</v>
      </c>
      <c r="C78" s="30" t="n">
        <f aca="false">IF(C$4=0,0,C30/C$4)</f>
        <v>0.000518083559889331</v>
      </c>
      <c r="D78" s="30" t="n">
        <f aca="false">IF(D$4=0,0,D30/D$4)</f>
        <v>0.000304947039522355</v>
      </c>
      <c r="E78" s="30" t="n">
        <f aca="false">IF(E$4=0,0,E30/E$4)</f>
        <v>0.00036868167577824</v>
      </c>
      <c r="F78" s="30" t="n">
        <f aca="false">IF(F$4=0,0,F30/F$4)</f>
        <v>0.000215456220222958</v>
      </c>
      <c r="G78" s="30" t="n">
        <f aca="false">IF(G$4=0,0,G30/G$4)</f>
        <v>0.000217091041579331</v>
      </c>
      <c r="H78" s="30" t="n">
        <f aca="false">IF(H$4=0,0,H30/H$4)</f>
        <v>0.000323583495963283</v>
      </c>
    </row>
    <row r="79" customFormat="false" ht="15" hidden="false" customHeight="false" outlineLevel="0" collapsed="false">
      <c r="A79" s="24" t="s">
        <v>69</v>
      </c>
      <c r="B79" s="29" t="n">
        <f aca="false">IF(B$4=0,0,B31/B$4)</f>
        <v>0.000214539417974381</v>
      </c>
      <c r="C79" s="29" t="n">
        <f aca="false">IF(C$4=0,0,C31/C$4)</f>
        <v>9.47956301138651E-005</v>
      </c>
      <c r="D79" s="29" t="n">
        <f aca="false">IF(D$4=0,0,D31/D$4)</f>
        <v>0.000177941982819395</v>
      </c>
      <c r="E79" s="29" t="n">
        <f aca="false">IF(E$4=0,0,E31/E$4)</f>
        <v>0.000318056609126597</v>
      </c>
      <c r="F79" s="29" t="n">
        <f aca="false">IF(F$4=0,0,F31/F$4)</f>
        <v>0.000116803618540707</v>
      </c>
      <c r="G79" s="29" t="n">
        <f aca="false">IF(G$4=0,0,G31/G$4)</f>
        <v>0.000138671275326488</v>
      </c>
      <c r="H79" s="29" t="n">
        <f aca="false">IF(H$4=0,0,H31/H$4)</f>
        <v>0.000181037305632515</v>
      </c>
    </row>
    <row r="80" customFormat="false" ht="15" hidden="false" customHeight="false" outlineLevel="0" collapsed="false">
      <c r="A80" s="26" t="s">
        <v>70</v>
      </c>
      <c r="B80" s="30" t="n">
        <f aca="false">IF(B$4=0,0,B32/B$4)</f>
        <v>5.40429457777856E-005</v>
      </c>
      <c r="C80" s="30" t="n">
        <f aca="false">IF(C$4=0,0,C32/C$4)</f>
        <v>0.000152305834219931</v>
      </c>
      <c r="D80" s="30" t="n">
        <f aca="false">IF(D$4=0,0,D32/D$4)</f>
        <v>0.000124285229379357</v>
      </c>
      <c r="E80" s="30" t="n">
        <f aca="false">IF(E$4=0,0,E32/E$4)</f>
        <v>0.000117196224448527</v>
      </c>
      <c r="F80" s="30" t="n">
        <f aca="false">IF(F$4=0,0,F32/F$4)</f>
        <v>0.000105421902302224</v>
      </c>
      <c r="G80" s="30" t="n">
        <f aca="false">IF(G$4=0,0,G32/G$4)</f>
        <v>7.03671948979765E-005</v>
      </c>
      <c r="H80" s="30" t="n">
        <f aca="false">IF(H$4=0,0,H32/H$4)</f>
        <v>9.68608925942661E-005</v>
      </c>
    </row>
    <row r="81" customFormat="false" ht="15" hidden="false" customHeight="false" outlineLevel="0" collapsed="false">
      <c r="A81" s="24" t="s">
        <v>71</v>
      </c>
      <c r="B81" s="29" t="n">
        <f aca="false">IF(B$4=0,0,B33/B$4)</f>
        <v>5.24397300184661E-005</v>
      </c>
      <c r="C81" s="29" t="n">
        <f aca="false">IF(C$4=0,0,C33/C$4)</f>
        <v>0</v>
      </c>
      <c r="D81" s="29" t="n">
        <f aca="false">IF(D$4=0,0,D33/D$4)</f>
        <v>6.56457522824791E-005</v>
      </c>
      <c r="E81" s="29" t="n">
        <f aca="false">IF(E$4=0,0,E33/E$4)</f>
        <v>1.22940841510945E-005</v>
      </c>
      <c r="F81" s="29" t="n">
        <f aca="false">IF(F$4=0,0,F33/F$4)</f>
        <v>0</v>
      </c>
      <c r="G81" s="29" t="n">
        <f aca="false">IF(G$4=0,0,G33/G$4)</f>
        <v>4.13336774332235E-006</v>
      </c>
      <c r="H81" s="29" t="n">
        <f aca="false">IF(H$4=0,0,H33/H$4)</f>
        <v>1.71324955775066E-005</v>
      </c>
    </row>
    <row r="82" customFormat="false" ht="15" hidden="false" customHeight="false" outlineLevel="0" collapsed="false">
      <c r="A82" s="26" t="s">
        <v>72</v>
      </c>
      <c r="B82" s="30" t="n">
        <f aca="false">IF(B$4=0,0,B34/B$4)</f>
        <v>0.000302628836604622</v>
      </c>
      <c r="C82" s="30" t="n">
        <f aca="false">IF(C$4=0,0,C34/C$4)</f>
        <v>0.00028036758983158</v>
      </c>
      <c r="D82" s="30" t="n">
        <f aca="false">IF(D$4=0,0,D34/D$4)</f>
        <v>0.000506584157984978</v>
      </c>
      <c r="E82" s="30" t="n">
        <f aca="false">IF(E$4=0,0,E34/E$4)</f>
        <v>0.000562962411491649</v>
      </c>
      <c r="F82" s="30" t="n">
        <f aca="false">IF(F$4=0,0,F34/F$4)</f>
        <v>0.000186034096613272</v>
      </c>
      <c r="G82" s="30" t="n">
        <f aca="false">IF(G$4=0,0,G34/G$4)</f>
        <v>0.000409117740936201</v>
      </c>
      <c r="H82" s="30" t="n">
        <f aca="false">IF(H$4=0,0,H34/H$4)</f>
        <v>0.00038117563384152</v>
      </c>
    </row>
    <row r="83" customFormat="false" ht="15" hidden="false" customHeight="false" outlineLevel="0" collapsed="false">
      <c r="A83" s="24" t="s">
        <v>73</v>
      </c>
      <c r="B83" s="29" t="n">
        <f aca="false">IF(B$4=0,0,B35/B$4)</f>
        <v>0.000365620641257154</v>
      </c>
      <c r="C83" s="29" t="n">
        <f aca="false">IF(C$4=0,0,C35/C$4)</f>
        <v>0.000321928867445778</v>
      </c>
      <c r="D83" s="29" t="n">
        <f aca="false">IF(D$4=0,0,D35/D$4)</f>
        <v>0.000393156479281443</v>
      </c>
      <c r="E83" s="29" t="n">
        <f aca="false">IF(E$4=0,0,E35/E$4)</f>
        <v>0.000950276365377766</v>
      </c>
      <c r="F83" s="29" t="n">
        <f aca="false">IF(F$4=0,0,F35/F$4)</f>
        <v>9.58873645008894E-005</v>
      </c>
      <c r="G83" s="29" t="n">
        <f aca="false">IF(G$4=0,0,G35/G$4)</f>
        <v>0.00053863706903136</v>
      </c>
      <c r="H83" s="29" t="n">
        <f aca="false">IF(H$4=0,0,H35/H$4)</f>
        <v>0.00048203261588667</v>
      </c>
    </row>
    <row r="84" customFormat="false" ht="15" hidden="false" customHeight="false" outlineLevel="0" collapsed="false">
      <c r="A84" s="26" t="s">
        <v>74</v>
      </c>
      <c r="B84" s="30" t="n">
        <f aca="false">IF(B$4=0,0,B36/B$4)</f>
        <v>0</v>
      </c>
      <c r="C84" s="30" t="n">
        <f aca="false">IF(C$4=0,0,C36/C$4)</f>
        <v>0.00123351905067201</v>
      </c>
      <c r="D84" s="30" t="n">
        <f aca="false">IF(D$4=0,0,D36/D$4)</f>
        <v>0.00117620564505601</v>
      </c>
      <c r="E84" s="30" t="n">
        <f aca="false">IF(E$4=0,0,E36/E$4)</f>
        <v>0.00277040445725945</v>
      </c>
      <c r="F84" s="30" t="n">
        <f aca="false">IF(F$4=0,0,F36/F$4)</f>
        <v>0.000246238840525874</v>
      </c>
      <c r="G84" s="30" t="n">
        <f aca="false">IF(G$4=0,0,G36/G$4)</f>
        <v>0.00111340362709373</v>
      </c>
      <c r="H84" s="30" t="n">
        <f aca="false">IF(H$4=0,0,H36/H$4)</f>
        <v>0.00115089004749697</v>
      </c>
    </row>
    <row r="85" customFormat="false" ht="15" hidden="false" customHeight="false" outlineLevel="0" collapsed="false">
      <c r="A85" s="24" t="s">
        <v>75</v>
      </c>
      <c r="B85" s="29" t="n">
        <f aca="false">IF(B$4=0,0,B37/B$4)</f>
        <v>4.97579872937864E-005</v>
      </c>
      <c r="C85" s="29" t="n">
        <f aca="false">IF(C$4=0,0,C37/C$4)</f>
        <v>5.17591836954595E-005</v>
      </c>
      <c r="D85" s="29" t="n">
        <f aca="false">IF(D$4=0,0,D37/D$4)</f>
        <v>3.04620660243522E-005</v>
      </c>
      <c r="E85" s="29" t="n">
        <f aca="false">IF(E$4=0,0,E37/E$4)</f>
        <v>3.68319493266424E-005</v>
      </c>
      <c r="F85" s="29" t="n">
        <f aca="false">IF(F$4=0,0,F37/F$4)</f>
        <v>2.15246062197175E-005</v>
      </c>
      <c r="G85" s="29" t="n">
        <f aca="false">IF(G$4=0,0,G37/G$4)</f>
        <v>2.16876877447552E-005</v>
      </c>
      <c r="H85" s="29" t="n">
        <f aca="false">IF(H$4=0,0,H37/H$4)</f>
        <v>3.23269997351242E-005</v>
      </c>
    </row>
    <row r="86" customFormat="false" ht="15" hidden="false" customHeight="false" outlineLevel="0" collapsed="false">
      <c r="A86" s="26" t="s">
        <v>76</v>
      </c>
      <c r="B86" s="30" t="n">
        <f aca="false">IF(B$4=0,0,B38/B$4)</f>
        <v>0.00400868068460228</v>
      </c>
      <c r="C86" s="30" t="n">
        <f aca="false">IF(C$4=0,0,C38/C$4)</f>
        <v>0.00126964999674608</v>
      </c>
      <c r="D86" s="30" t="n">
        <f aca="false">IF(D$4=0,0,D38/D$4)</f>
        <v>0.000944780977745285</v>
      </c>
      <c r="E86" s="30" t="n">
        <f aca="false">IF(E$4=0,0,E38/E$4)</f>
        <v>0.000889188248384767</v>
      </c>
      <c r="F86" s="30" t="n">
        <f aca="false">IF(F$4=0,0,F38/F$4)</f>
        <v>0.000590521930554099</v>
      </c>
      <c r="G86" s="30" t="n">
        <f aca="false">IF(G$4=0,0,G38/G$4)</f>
        <v>0.000990423443822203</v>
      </c>
      <c r="H86" s="30" t="n">
        <f aca="false">IF(H$4=0,0,H38/H$4)</f>
        <v>0.00134022895923275</v>
      </c>
    </row>
    <row r="87" customFormat="false" ht="15" hidden="false" customHeight="false" outlineLevel="0" collapsed="false">
      <c r="A87" s="17" t="s">
        <v>16</v>
      </c>
      <c r="B87" s="19" t="n">
        <f aca="false">IF(B$4=0,0,B39/B$4)</f>
        <v>-0.0264956764185909</v>
      </c>
      <c r="C87" s="19" t="n">
        <f aca="false">IF(C$4=0,0,C39/C$4)</f>
        <v>-0.203266181939025</v>
      </c>
      <c r="D87" s="19" t="n">
        <f aca="false">IF(D$4=0,0,D39/D$4)</f>
        <v>-0.268758670809508</v>
      </c>
      <c r="E87" s="19" t="n">
        <f aca="false">IF(E$4=0,0,E39/E$4)</f>
        <v>-0.0780137810445746</v>
      </c>
      <c r="F87" s="19" t="n">
        <f aca="false">IF(F$4=0,0,F39/F$4)</f>
        <v>-0.0418546852818304</v>
      </c>
      <c r="G87" s="19" t="n">
        <f aca="false">IF(G$4=0,0,G39/G$4)</f>
        <v>-0.303961945775084</v>
      </c>
      <c r="H87" s="19" t="n">
        <f aca="false">IF(H$4=0,0,H39/H$4)</f>
        <v>-0.158366853001895</v>
      </c>
    </row>
    <row r="88" customFormat="false" ht="15" hidden="false" customHeight="false" outlineLevel="0" collapsed="false">
      <c r="A88" s="17" t="s">
        <v>17</v>
      </c>
      <c r="B88" s="19" t="n">
        <f aca="false">IF(B$4=0,0,B40/B$4)</f>
        <v>-0.000485482881299363</v>
      </c>
      <c r="C88" s="19" t="n">
        <f aca="false">IF(C$4=0,0,C40/C$4)</f>
        <v>0.00475960007788891</v>
      </c>
      <c r="D88" s="19" t="n">
        <f aca="false">IF(D$4=0,0,D40/D$4)</f>
        <v>0.00229250981313698</v>
      </c>
      <c r="E88" s="19" t="n">
        <f aca="false">IF(E$4=0,0,E40/E$4)</f>
        <v>0.00455802666870562</v>
      </c>
      <c r="F88" s="19" t="n">
        <f aca="false">IF(F$4=0,0,F40/F$4)</f>
        <v>-0.00344182435394824</v>
      </c>
      <c r="G88" s="19" t="n">
        <f aca="false">IF(G$4=0,0,G40/G$4)</f>
        <v>-0.0101935059310151</v>
      </c>
      <c r="H88" s="19" t="n">
        <f aca="false">IF(H$4=0,0,H40/H$4)</f>
        <v>-0.0020180679225075</v>
      </c>
    </row>
    <row r="89" customFormat="false" ht="15" hidden="false" customHeight="false" outlineLevel="0" collapsed="false">
      <c r="A89" s="24" t="s">
        <v>77</v>
      </c>
      <c r="B89" s="29" t="n">
        <f aca="false">IF(B$4=0,0,B41/B$4)</f>
        <v>0</v>
      </c>
      <c r="C89" s="29" t="n">
        <f aca="false">IF(C$4=0,0,C41/C$4)</f>
        <v>0.00904071098176375</v>
      </c>
      <c r="D89" s="29" t="n">
        <f aca="false">IF(D$4=0,0,D41/D$4)</f>
        <v>0.00453610625168629</v>
      </c>
      <c r="E89" s="29" t="n">
        <f aca="false">IF(E$4=0,0,E41/E$4)</f>
        <v>0.00541300879097441</v>
      </c>
      <c r="F89" s="29" t="n">
        <f aca="false">IF(F$4=0,0,F41/F$4)</f>
        <v>0.00234274212289559</v>
      </c>
      <c r="G89" s="29" t="n">
        <f aca="false">IF(G$4=0,0,G41/G$4)</f>
        <v>0.000317162801554966</v>
      </c>
      <c r="H89" s="29" t="n">
        <f aca="false">IF(H$4=0,0,H41/H$4)</f>
        <v>0.00290213604416805</v>
      </c>
    </row>
    <row r="90" customFormat="false" ht="15" hidden="false" customHeight="false" outlineLevel="0" collapsed="false">
      <c r="A90" s="26" t="s">
        <v>78</v>
      </c>
      <c r="B90" s="30" t="n">
        <f aca="false">IF(B$4=0,0,B42/B$4)</f>
        <v>0.000344327021035648</v>
      </c>
      <c r="C90" s="30" t="n">
        <f aca="false">IF(C$4=0,0,C42/C$4)</f>
        <v>0.000748060238539499</v>
      </c>
      <c r="D90" s="30" t="n">
        <f aca="false">IF(D$4=0,0,D42/D$4)</f>
        <v>0.000160404536236803</v>
      </c>
      <c r="E90" s="30" t="n">
        <f aca="false">IF(E$4=0,0,E42/E$4)</f>
        <v>0.000295319595884802</v>
      </c>
      <c r="F90" s="30" t="n">
        <f aca="false">IF(F$4=0,0,F42/F$4)</f>
        <v>3.33266385097681E-005</v>
      </c>
      <c r="G90" s="30" t="n">
        <f aca="false">IF(G$4=0,0,G42/G$4)</f>
        <v>5.51544027373203E-005</v>
      </c>
      <c r="H90" s="30" t="n">
        <f aca="false">IF(H$4=0,0,H42/H$4)</f>
        <v>0.000215947615359067</v>
      </c>
    </row>
    <row r="91" customFormat="false" ht="15" hidden="false" customHeight="false" outlineLevel="0" collapsed="false">
      <c r="A91" s="24" t="s">
        <v>79</v>
      </c>
      <c r="B91" s="29" t="n">
        <f aca="false">IF(B$4=0,0,B43/B$4)</f>
        <v>1.16597509768685E-006</v>
      </c>
      <c r="C91" s="29" t="n">
        <f aca="false">IF(C$4=0,0,C43/C$4)</f>
        <v>1.21220393041411E-005</v>
      </c>
      <c r="D91" s="29" t="n">
        <f aca="false">IF(D$4=0,0,D43/D$4)</f>
        <v>3.8730341088105E-006</v>
      </c>
      <c r="E91" s="29" t="n">
        <f aca="false">IF(E$4=0,0,E43/E$4)</f>
        <v>3.00410272300885E-005</v>
      </c>
      <c r="F91" s="29" t="n">
        <f aca="false">IF(F$4=0,0,F43/F$4)</f>
        <v>5.35128699337067E-005</v>
      </c>
      <c r="G91" s="29" t="n">
        <f aca="false">IF(G$4=0,0,G43/G$4)</f>
        <v>2.42719349348808E-007</v>
      </c>
      <c r="H91" s="29" t="n">
        <f aca="false">IF(H$4=0,0,H43/H$4)</f>
        <v>1.76760288853957E-005</v>
      </c>
    </row>
    <row r="92" customFormat="false" ht="15" hidden="false" customHeight="false" outlineLevel="0" collapsed="false">
      <c r="A92" s="26" t="s">
        <v>80</v>
      </c>
      <c r="B92" s="30" t="n">
        <f aca="false">IF(B$4=0,0,B44/B$4)</f>
        <v>0</v>
      </c>
      <c r="C92" s="30" t="n">
        <f aca="false">IF(C$4=0,0,C44/C$4)</f>
        <v>0</v>
      </c>
      <c r="D92" s="30" t="n">
        <f aca="false">IF(D$4=0,0,D44/D$4)</f>
        <v>0</v>
      </c>
      <c r="E92" s="30" t="n">
        <f aca="false">IF(E$4=0,0,E44/E$4)</f>
        <v>0</v>
      </c>
      <c r="F92" s="30" t="n">
        <f aca="false">IF(F$4=0,0,F44/F$4)</f>
        <v>0</v>
      </c>
      <c r="G92" s="30" t="n">
        <f aca="false">IF(G$4=0,0,G44/G$4)</f>
        <v>0</v>
      </c>
      <c r="H92" s="30" t="n">
        <f aca="false">IF(H$4=0,0,H44/H$4)</f>
        <v>0</v>
      </c>
    </row>
    <row r="93" customFormat="false" ht="15" hidden="false" customHeight="false" outlineLevel="0" collapsed="false">
      <c r="A93" s="24" t="s">
        <v>81</v>
      </c>
      <c r="B93" s="29" t="n">
        <f aca="false">IF(B$4=0,0,B45/B$4)</f>
        <v>0.000830990452121419</v>
      </c>
      <c r="C93" s="29" t="n">
        <f aca="false">IF(C$4=0,0,C45/C$4)</f>
        <v>0.00504129318171848</v>
      </c>
      <c r="D93" s="29" t="n">
        <f aca="false">IF(D$4=0,0,D45/D$4)</f>
        <v>0.00240787400889492</v>
      </c>
      <c r="E93" s="29" t="n">
        <f aca="false">IF(E$4=0,0,E45/E$4)</f>
        <v>0.00118033268475835</v>
      </c>
      <c r="F93" s="29" t="n">
        <f aca="false">IF(F$4=0,0,F45/F$4)</f>
        <v>0.0058714059852873</v>
      </c>
      <c r="G93" s="29" t="n">
        <f aca="false">IF(G$4=0,0,G45/G$4)</f>
        <v>0.0105660658546567</v>
      </c>
      <c r="H93" s="29" t="n">
        <f aca="false">IF(H$4=0,0,H45/H$4)</f>
        <v>0.00515382761092001</v>
      </c>
    </row>
    <row r="94" customFormat="false" ht="15" hidden="false" customHeight="false" outlineLevel="0" collapsed="false">
      <c r="A94" s="17" t="s">
        <v>82</v>
      </c>
      <c r="B94" s="19" t="n">
        <f aca="false">IF(B$4=0,0,B46/B$4)</f>
        <v>-0.026981173874579</v>
      </c>
      <c r="C94" s="19" t="n">
        <f aca="false">IF(C$4=0,0,C46/C$4)</f>
        <v>-0.198506560481878</v>
      </c>
      <c r="D94" s="19" t="n">
        <f aca="false">IF(D$4=0,0,D46/D$4)</f>
        <v>-0.266466160996371</v>
      </c>
      <c r="E94" s="19" t="n">
        <f aca="false">IF(E$4=0,0,E46/E$4)</f>
        <v>-0.073455754375869</v>
      </c>
      <c r="F94" s="19" t="n">
        <f aca="false">IF(F$4=0,0,F46/F$4)</f>
        <v>-0.0452965096357787</v>
      </c>
      <c r="G94" s="19" t="n">
        <f aca="false">IF(G$4=0,0,G46/G$4)</f>
        <v>-0.314155451706099</v>
      </c>
      <c r="H94" s="19" t="n">
        <f aca="false">IF(H$4=0,0,H46/H$4)</f>
        <v>-0.160384920924403</v>
      </c>
    </row>
    <row r="95" customFormat="false" ht="15" hidden="false" customHeight="false" outlineLevel="0" collapsed="false">
      <c r="A95" s="24" t="s">
        <v>83</v>
      </c>
      <c r="B95" s="29" t="n">
        <f aca="false">IF(B$4=0,0,B47/B$4)</f>
        <v>0</v>
      </c>
      <c r="C95" s="29" t="n">
        <f aca="false">IF(C$4=0,0,C47/C$4)</f>
        <v>0</v>
      </c>
      <c r="D95" s="29" t="n">
        <f aca="false">IF(D$4=0,0,D47/D$4)</f>
        <v>0</v>
      </c>
      <c r="E95" s="29" t="n">
        <f aca="false">IF(E$4=0,0,E47/E$4)</f>
        <v>0</v>
      </c>
      <c r="F95" s="29" t="n">
        <f aca="false">IF(F$4=0,0,F47/F$4)</f>
        <v>0</v>
      </c>
      <c r="G95" s="29" t="n">
        <f aca="false">IF(G$4=0,0,G47/G$4)</f>
        <v>0</v>
      </c>
      <c r="H95" s="29" t="n">
        <f aca="false">IF(H$4=0,0,H47/H$4)</f>
        <v>0</v>
      </c>
    </row>
    <row r="96" customFormat="false" ht="15" hidden="false" customHeight="false" outlineLevel="0" collapsed="false">
      <c r="A96" s="17" t="s">
        <v>18</v>
      </c>
      <c r="B96" s="19" t="n">
        <f aca="false">IF(B$4=0,0,B48/B$4)</f>
        <v>-0.026981173874579</v>
      </c>
      <c r="C96" s="19" t="n">
        <f aca="false">IF(C$4=0,0,C48/C$4)</f>
        <v>-0.198506560481878</v>
      </c>
      <c r="D96" s="19" t="n">
        <f aca="false">IF(D$4=0,0,D48/D$4)</f>
        <v>-0.266466160996371</v>
      </c>
      <c r="E96" s="19" t="n">
        <f aca="false">IF(E$4=0,0,E48/E$4)</f>
        <v>-0.073455754375869</v>
      </c>
      <c r="F96" s="19" t="n">
        <f aca="false">IF(F$4=0,0,F48/F$4)</f>
        <v>-0.0452965096357787</v>
      </c>
      <c r="G96" s="19" t="n">
        <f aca="false">IF(G$4=0,0,G48/G$4)</f>
        <v>-0.314155451706099</v>
      </c>
      <c r="H96" s="19" t="n">
        <f aca="false">IF(H$4=0,0,H48/H$4)</f>
        <v>-0.160384920924403</v>
      </c>
    </row>
  </sheetData>
  <mergeCells count="3">
    <mergeCell ref="A1:H1"/>
    <mergeCell ref="A2:H2"/>
    <mergeCell ref="A50:H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8" min="2" style="0" width="16"/>
  </cols>
  <sheetData>
    <row r="1" customFormat="false" ht="24" hidden="false" customHeight="true" outlineLevel="0" collapsed="false">
      <c r="A1" s="21" t="s">
        <v>87</v>
      </c>
      <c r="B1" s="21"/>
      <c r="C1" s="21"/>
      <c r="D1" s="21"/>
      <c r="E1" s="21"/>
      <c r="F1" s="21"/>
      <c r="G1" s="21"/>
      <c r="H1" s="21"/>
    </row>
    <row r="2" customFormat="false" ht="13.5" hidden="false" customHeight="true" outlineLevel="0" collapsed="false">
      <c r="A2" s="2" t="s">
        <v>39</v>
      </c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22" t="s">
        <v>3</v>
      </c>
      <c r="B3" s="23" t="s">
        <v>4</v>
      </c>
      <c r="C3" s="23" t="s">
        <v>5</v>
      </c>
      <c r="D3" s="23" t="s">
        <v>6</v>
      </c>
      <c r="E3" s="23" t="s">
        <v>7</v>
      </c>
      <c r="F3" s="23" t="s">
        <v>8</v>
      </c>
      <c r="G3" s="23" t="s">
        <v>9</v>
      </c>
      <c r="H3" s="23" t="s">
        <v>10</v>
      </c>
    </row>
    <row r="4" customFormat="false" ht="15" hidden="false" customHeight="false" outlineLevel="0" collapsed="false">
      <c r="A4" s="17" t="s">
        <v>12</v>
      </c>
      <c r="B4" s="18" t="n">
        <v>180646</v>
      </c>
      <c r="C4" s="18" t="n">
        <v>393927</v>
      </c>
      <c r="D4" s="18" t="n">
        <v>720184</v>
      </c>
      <c r="E4" s="18" t="n">
        <v>222165</v>
      </c>
      <c r="F4" s="18" t="n">
        <v>572287.86</v>
      </c>
      <c r="G4" s="18" t="n">
        <v>251364</v>
      </c>
      <c r="H4" s="18" t="n">
        <f aca="false">SUM(B4:G4)</f>
        <v>2340573.86</v>
      </c>
    </row>
    <row r="5" customFormat="false" ht="15" hidden="false" customHeight="false" outlineLevel="0" collapsed="false">
      <c r="A5" s="24" t="s">
        <v>30</v>
      </c>
      <c r="B5" s="25" t="n">
        <v>180778</v>
      </c>
      <c r="C5" s="25" t="n">
        <v>407448</v>
      </c>
      <c r="D5" s="25" t="n">
        <v>720184</v>
      </c>
      <c r="E5" s="25" t="n">
        <v>247150</v>
      </c>
      <c r="F5" s="25" t="n">
        <v>580672</v>
      </c>
      <c r="G5" s="25" t="n">
        <v>268517</v>
      </c>
      <c r="H5" s="25" t="n">
        <f aca="false">SUM(B5:G5)</f>
        <v>2404749</v>
      </c>
    </row>
    <row r="6" customFormat="false" ht="15" hidden="false" customHeight="false" outlineLevel="0" collapsed="false">
      <c r="A6" s="26" t="s">
        <v>40</v>
      </c>
      <c r="B6" s="27" t="n">
        <v>-132</v>
      </c>
      <c r="C6" s="27" t="n">
        <v>-13521</v>
      </c>
      <c r="D6" s="27" t="n">
        <v>0</v>
      </c>
      <c r="E6" s="27" t="n">
        <v>-24985</v>
      </c>
      <c r="F6" s="27" t="n">
        <v>-8384.14</v>
      </c>
      <c r="G6" s="27" t="n">
        <v>-17153</v>
      </c>
      <c r="H6" s="27" t="n">
        <f aca="false">SUM(B6:G6)</f>
        <v>-64175.14</v>
      </c>
    </row>
    <row r="7" customFormat="false" ht="15" hidden="false" customHeight="false" outlineLevel="0" collapsed="false">
      <c r="A7" s="17" t="s">
        <v>13</v>
      </c>
      <c r="B7" s="18" t="n">
        <v>177209.42</v>
      </c>
      <c r="C7" s="18" t="n">
        <v>380834.49</v>
      </c>
      <c r="D7" s="18" t="n">
        <v>695594.98</v>
      </c>
      <c r="E7" s="18" t="n">
        <v>241411.48</v>
      </c>
      <c r="F7" s="18" t="n">
        <v>650678.52</v>
      </c>
      <c r="G7" s="18" t="n">
        <v>194352.22</v>
      </c>
      <c r="H7" s="18" t="n">
        <f aca="false">SUM(B7:G7)</f>
        <v>2340081.11</v>
      </c>
    </row>
    <row r="8" customFormat="false" ht="15" hidden="false" customHeight="false" outlineLevel="0" collapsed="false">
      <c r="A8" s="26" t="s">
        <v>43</v>
      </c>
      <c r="B8" s="27" t="n">
        <v>177209.42</v>
      </c>
      <c r="C8" s="27" t="n">
        <v>380834.49</v>
      </c>
      <c r="D8" s="27" t="n">
        <v>695594.98</v>
      </c>
      <c r="E8" s="27" t="n">
        <v>241411.48</v>
      </c>
      <c r="F8" s="27" t="n">
        <v>650678.52</v>
      </c>
      <c r="G8" s="27" t="n">
        <v>194352.22</v>
      </c>
      <c r="H8" s="27" t="n">
        <f aca="false">SUM(B8:G8)</f>
        <v>2340081.11</v>
      </c>
    </row>
    <row r="9" customFormat="false" ht="15" hidden="false" customHeight="false" outlineLevel="0" collapsed="false">
      <c r="A9" s="24" t="s">
        <v>49</v>
      </c>
      <c r="B9" s="25" t="n">
        <v>0</v>
      </c>
      <c r="C9" s="25" t="n">
        <v>0</v>
      </c>
      <c r="D9" s="25" t="n">
        <v>0</v>
      </c>
      <c r="E9" s="25" t="n">
        <v>0</v>
      </c>
      <c r="F9" s="25" t="n">
        <v>0</v>
      </c>
      <c r="G9" s="25" t="n">
        <v>0</v>
      </c>
      <c r="H9" s="25" t="n">
        <f aca="false">SUM(B9:G9)</f>
        <v>0</v>
      </c>
    </row>
    <row r="10" customFormat="false" ht="15" hidden="false" customHeight="false" outlineLevel="0" collapsed="false">
      <c r="A10" s="26" t="s">
        <v>50</v>
      </c>
      <c r="B10" s="27" t="n">
        <v>0</v>
      </c>
      <c r="C10" s="27" t="n">
        <v>0</v>
      </c>
      <c r="D10" s="27" t="n">
        <v>0</v>
      </c>
      <c r="E10" s="27" t="n">
        <v>0</v>
      </c>
      <c r="F10" s="27" t="n">
        <v>0</v>
      </c>
      <c r="G10" s="27" t="n">
        <v>0</v>
      </c>
      <c r="H10" s="27" t="n">
        <f aca="false">SUM(B10:G10)</f>
        <v>0</v>
      </c>
    </row>
    <row r="11" customFormat="false" ht="15" hidden="false" customHeight="false" outlineLevel="0" collapsed="false">
      <c r="A11" s="17" t="s">
        <v>14</v>
      </c>
      <c r="B11" s="18" t="n">
        <v>3436.58</v>
      </c>
      <c r="C11" s="18" t="n">
        <v>13092.51</v>
      </c>
      <c r="D11" s="18" t="n">
        <v>24589.02</v>
      </c>
      <c r="E11" s="18" t="n">
        <v>-19246.48</v>
      </c>
      <c r="F11" s="18" t="n">
        <v>-78390.66</v>
      </c>
      <c r="G11" s="18" t="n">
        <v>57011.78</v>
      </c>
      <c r="H11" s="18" t="n">
        <f aca="false">SUM(B11:G11)</f>
        <v>492.75</v>
      </c>
    </row>
    <row r="12" customFormat="false" ht="15" hidden="false" customHeight="false" outlineLevel="0" collapsed="false">
      <c r="A12" s="17" t="s">
        <v>15</v>
      </c>
      <c r="B12" s="18" t="n">
        <v>12375.4</v>
      </c>
      <c r="C12" s="18" t="n">
        <v>30228.61</v>
      </c>
      <c r="D12" s="18" t="n">
        <v>41808.98</v>
      </c>
      <c r="E12" s="18" t="n">
        <v>16157.4</v>
      </c>
      <c r="F12" s="18" t="n">
        <v>22388.84</v>
      </c>
      <c r="G12" s="18" t="n">
        <v>11634.75</v>
      </c>
      <c r="H12" s="18" t="n">
        <f aca="false">SUM(B12:G12)</f>
        <v>134593.98</v>
      </c>
    </row>
    <row r="13" customFormat="false" ht="15" hidden="false" customHeight="false" outlineLevel="0" collapsed="false">
      <c r="A13" s="24" t="s">
        <v>51</v>
      </c>
      <c r="B13" s="25" t="n">
        <v>1772.78</v>
      </c>
      <c r="C13" s="25" t="n">
        <v>9896.73</v>
      </c>
      <c r="D13" s="25" t="n">
        <v>12920.39</v>
      </c>
      <c r="E13" s="25" t="n">
        <v>5530.84</v>
      </c>
      <c r="F13" s="25" t="n">
        <v>10074.8</v>
      </c>
      <c r="G13" s="25" t="n">
        <v>4690.39</v>
      </c>
      <c r="H13" s="25" t="n">
        <f aca="false">SUM(B13:G13)</f>
        <v>44885.93</v>
      </c>
    </row>
    <row r="14" customFormat="false" ht="15" hidden="false" customHeight="false" outlineLevel="0" collapsed="false">
      <c r="A14" s="26" t="s">
        <v>52</v>
      </c>
      <c r="B14" s="27" t="n">
        <v>1645.19</v>
      </c>
      <c r="C14" s="27" t="n">
        <v>0</v>
      </c>
      <c r="D14" s="27" t="n">
        <v>0</v>
      </c>
      <c r="E14" s="27" t="n">
        <v>0</v>
      </c>
      <c r="F14" s="27" t="n">
        <v>0</v>
      </c>
      <c r="G14" s="27" t="n">
        <v>0</v>
      </c>
      <c r="H14" s="27" t="n">
        <f aca="false">SUM(B14:G14)</f>
        <v>1645.19</v>
      </c>
    </row>
    <row r="15" customFormat="false" ht="15" hidden="false" customHeight="false" outlineLevel="0" collapsed="false">
      <c r="A15" s="24" t="s">
        <v>53</v>
      </c>
      <c r="B15" s="25" t="n">
        <v>103.3</v>
      </c>
      <c r="C15" s="25" t="n">
        <v>229.95</v>
      </c>
      <c r="D15" s="25" t="n">
        <v>231.65</v>
      </c>
      <c r="E15" s="25" t="n">
        <v>106.59</v>
      </c>
      <c r="F15" s="25" t="n">
        <v>277.11</v>
      </c>
      <c r="G15" s="25" t="n">
        <v>131.48</v>
      </c>
      <c r="H15" s="25" t="n">
        <f aca="false">SUM(B15:G15)</f>
        <v>1080.08</v>
      </c>
    </row>
    <row r="16" customFormat="false" ht="15" hidden="false" customHeight="false" outlineLevel="0" collapsed="false">
      <c r="A16" s="26" t="s">
        <v>54</v>
      </c>
      <c r="B16" s="27" t="n">
        <v>123.11</v>
      </c>
      <c r="C16" s="27" t="n">
        <v>759.21</v>
      </c>
      <c r="D16" s="27" t="n">
        <v>998.62</v>
      </c>
      <c r="E16" s="27" t="n">
        <v>415.24</v>
      </c>
      <c r="F16" s="27" t="n">
        <v>774.59</v>
      </c>
      <c r="G16" s="27" t="n">
        <v>362.73</v>
      </c>
      <c r="H16" s="27" t="n">
        <f aca="false">SUM(B16:G16)</f>
        <v>3433.5</v>
      </c>
    </row>
    <row r="17" customFormat="false" ht="15" hidden="false" customHeight="false" outlineLevel="0" collapsed="false">
      <c r="A17" s="24" t="s">
        <v>55</v>
      </c>
      <c r="B17" s="25" t="n">
        <v>562.46</v>
      </c>
      <c r="C17" s="25" t="n">
        <v>3137.05</v>
      </c>
      <c r="D17" s="25" t="n">
        <v>2895.26</v>
      </c>
      <c r="E17" s="25" t="n">
        <v>1535.31</v>
      </c>
      <c r="F17" s="25" t="n">
        <v>2413.07</v>
      </c>
      <c r="G17" s="25" t="n">
        <v>1649.76</v>
      </c>
      <c r="H17" s="25" t="n">
        <f aca="false">SUM(B17:G17)</f>
        <v>12192.91</v>
      </c>
    </row>
    <row r="18" customFormat="false" ht="15" hidden="false" customHeight="false" outlineLevel="0" collapsed="false">
      <c r="A18" s="26" t="s">
        <v>56</v>
      </c>
      <c r="B18" s="27" t="n">
        <v>34.27</v>
      </c>
      <c r="C18" s="27" t="n">
        <v>0</v>
      </c>
      <c r="D18" s="27" t="n">
        <v>41.41</v>
      </c>
      <c r="E18" s="27" t="n">
        <v>142.5</v>
      </c>
      <c r="F18" s="27" t="n">
        <v>208.19</v>
      </c>
      <c r="G18" s="27" t="n">
        <v>58.18</v>
      </c>
      <c r="H18" s="27" t="n">
        <f aca="false">SUM(B18:G18)</f>
        <v>484.55</v>
      </c>
    </row>
    <row r="19" customFormat="false" ht="15" hidden="false" customHeight="false" outlineLevel="0" collapsed="false">
      <c r="A19" s="24" t="s">
        <v>57</v>
      </c>
      <c r="B19" s="25" t="n">
        <v>2.48</v>
      </c>
      <c r="C19" s="25" t="n">
        <v>0</v>
      </c>
      <c r="D19" s="25" t="n">
        <v>43.51</v>
      </c>
      <c r="E19" s="25" t="n">
        <v>12.58</v>
      </c>
      <c r="F19" s="25" t="n">
        <v>40.46</v>
      </c>
      <c r="G19" s="25" t="n">
        <v>50.32</v>
      </c>
      <c r="H19" s="25" t="n">
        <f aca="false">SUM(B19:G19)</f>
        <v>149.35</v>
      </c>
    </row>
    <row r="20" customFormat="false" ht="15" hidden="false" customHeight="false" outlineLevel="0" collapsed="false">
      <c r="A20" s="26" t="s">
        <v>58</v>
      </c>
      <c r="B20" s="27" t="n">
        <v>71.94</v>
      </c>
      <c r="C20" s="27" t="n">
        <v>171.03</v>
      </c>
      <c r="D20" s="27" t="n">
        <v>144.46</v>
      </c>
      <c r="E20" s="27" t="n">
        <v>118.23</v>
      </c>
      <c r="F20" s="27" t="n">
        <v>142.25</v>
      </c>
      <c r="G20" s="27" t="n">
        <v>20.6</v>
      </c>
      <c r="H20" s="27" t="n">
        <f aca="false">SUM(B20:G20)</f>
        <v>668.51</v>
      </c>
    </row>
    <row r="21" customFormat="false" ht="15" hidden="false" customHeight="false" outlineLevel="0" collapsed="false">
      <c r="A21" s="24" t="s">
        <v>59</v>
      </c>
      <c r="B21" s="25" t="n">
        <v>9.64</v>
      </c>
      <c r="C21" s="25" t="n">
        <v>23.32</v>
      </c>
      <c r="D21" s="25" t="n">
        <v>14.64</v>
      </c>
      <c r="E21" s="25" t="n">
        <v>7.72</v>
      </c>
      <c r="F21" s="25" t="n">
        <v>34.71</v>
      </c>
      <c r="G21" s="25" t="n">
        <v>55.12</v>
      </c>
      <c r="H21" s="25" t="n">
        <f aca="false">SUM(B21:G21)</f>
        <v>145.15</v>
      </c>
    </row>
    <row r="22" customFormat="false" ht="15" hidden="false" customHeight="false" outlineLevel="0" collapsed="false">
      <c r="A22" s="26" t="s">
        <v>60</v>
      </c>
      <c r="B22" s="27" t="n">
        <v>1571</v>
      </c>
      <c r="C22" s="27" t="n">
        <v>3563.71</v>
      </c>
      <c r="D22" s="27" t="n">
        <v>3834.99</v>
      </c>
      <c r="E22" s="27" t="n">
        <v>1625.31</v>
      </c>
      <c r="F22" s="27" t="n">
        <v>2446.68</v>
      </c>
      <c r="G22" s="27" t="n">
        <v>1259.52</v>
      </c>
      <c r="H22" s="27" t="n">
        <f aca="false">SUM(B22:G22)</f>
        <v>14301.21</v>
      </c>
    </row>
    <row r="23" customFormat="false" ht="15" hidden="false" customHeight="false" outlineLevel="0" collapsed="false">
      <c r="A23" s="24" t="s">
        <v>61</v>
      </c>
      <c r="B23" s="25" t="n">
        <v>1078.22</v>
      </c>
      <c r="C23" s="25" t="n">
        <v>2660.66</v>
      </c>
      <c r="D23" s="25" t="n">
        <v>2530.95</v>
      </c>
      <c r="E23" s="25" t="n">
        <v>1915.1</v>
      </c>
      <c r="F23" s="25" t="n">
        <v>2074.21</v>
      </c>
      <c r="G23" s="25" t="n">
        <v>1091.15</v>
      </c>
      <c r="H23" s="25" t="n">
        <f aca="false">SUM(B23:G23)</f>
        <v>11350.29</v>
      </c>
    </row>
    <row r="24" customFormat="false" ht="15" hidden="false" customHeight="false" outlineLevel="0" collapsed="false">
      <c r="A24" s="26" t="s">
        <v>62</v>
      </c>
      <c r="B24" s="27" t="n">
        <v>397.12</v>
      </c>
      <c r="C24" s="27" t="n">
        <v>1024.22</v>
      </c>
      <c r="D24" s="27" t="n">
        <v>1321.67</v>
      </c>
      <c r="E24" s="27" t="n">
        <v>1050.19</v>
      </c>
      <c r="F24" s="27" t="n">
        <v>2617.73</v>
      </c>
      <c r="G24" s="27" t="n">
        <v>1005.82</v>
      </c>
      <c r="H24" s="27" t="n">
        <f aca="false">SUM(B24:G24)</f>
        <v>7416.75</v>
      </c>
    </row>
    <row r="25" customFormat="false" ht="15" hidden="false" customHeight="false" outlineLevel="0" collapsed="false">
      <c r="A25" s="24" t="s">
        <v>63</v>
      </c>
      <c r="B25" s="25" t="n">
        <v>99.39</v>
      </c>
      <c r="C25" s="25" t="n">
        <v>218.18</v>
      </c>
      <c r="D25" s="25" t="n">
        <v>225.37</v>
      </c>
      <c r="E25" s="25" t="n">
        <v>74.89</v>
      </c>
      <c r="F25" s="25" t="n">
        <v>110.39</v>
      </c>
      <c r="G25" s="25" t="n">
        <v>63.66</v>
      </c>
      <c r="H25" s="25" t="n">
        <f aca="false">SUM(B25:G25)</f>
        <v>791.88</v>
      </c>
    </row>
    <row r="26" customFormat="false" ht="15" hidden="false" customHeight="false" outlineLevel="0" collapsed="false">
      <c r="A26" s="26" t="s">
        <v>64</v>
      </c>
      <c r="B26" s="27" t="n">
        <v>78.52</v>
      </c>
      <c r="C26" s="27" t="n">
        <v>161.01</v>
      </c>
      <c r="D26" s="27" t="n">
        <v>192.08</v>
      </c>
      <c r="E26" s="27" t="n">
        <v>71.64</v>
      </c>
      <c r="F26" s="27" t="n">
        <v>107.84</v>
      </c>
      <c r="G26" s="27" t="n">
        <v>47.73</v>
      </c>
      <c r="H26" s="27" t="n">
        <f aca="false">SUM(B26:G26)</f>
        <v>658.82</v>
      </c>
    </row>
    <row r="27" customFormat="false" ht="15" hidden="false" customHeight="false" outlineLevel="0" collapsed="false">
      <c r="A27" s="24" t="s">
        <v>65</v>
      </c>
      <c r="B27" s="25" t="n">
        <v>203.74</v>
      </c>
      <c r="C27" s="25" t="n">
        <v>317.13</v>
      </c>
      <c r="D27" s="25" t="n">
        <v>270.12</v>
      </c>
      <c r="E27" s="25" t="n">
        <v>198.24</v>
      </c>
      <c r="F27" s="25" t="n">
        <v>44.04</v>
      </c>
      <c r="G27" s="25" t="n">
        <v>12.99</v>
      </c>
      <c r="H27" s="25" t="n">
        <f aca="false">SUM(B27:G27)</f>
        <v>1046.26</v>
      </c>
    </row>
    <row r="28" customFormat="false" ht="15" hidden="false" customHeight="false" outlineLevel="0" collapsed="false">
      <c r="A28" s="26" t="s">
        <v>66</v>
      </c>
      <c r="B28" s="27" t="n">
        <v>3529.17</v>
      </c>
      <c r="C28" s="27" t="n">
        <v>6304.55</v>
      </c>
      <c r="D28" s="27" t="n">
        <v>12835.44</v>
      </c>
      <c r="E28" s="27" t="n">
        <v>1897.27</v>
      </c>
      <c r="F28" s="27" t="n">
        <v>0</v>
      </c>
      <c r="G28" s="27" t="n">
        <v>0</v>
      </c>
      <c r="H28" s="27" t="n">
        <f aca="false">SUM(B28:G28)</f>
        <v>24566.43</v>
      </c>
    </row>
    <row r="29" customFormat="false" ht="15" hidden="false" customHeight="false" outlineLevel="0" collapsed="false">
      <c r="A29" s="24" t="s">
        <v>67</v>
      </c>
      <c r="B29" s="25" t="n">
        <v>0</v>
      </c>
      <c r="C29" s="25" t="n">
        <v>0</v>
      </c>
      <c r="D29" s="25" t="n">
        <v>0</v>
      </c>
      <c r="E29" s="25" t="n">
        <v>0</v>
      </c>
      <c r="F29" s="25" t="n">
        <v>0</v>
      </c>
      <c r="G29" s="25" t="n">
        <v>0</v>
      </c>
      <c r="H29" s="25" t="n">
        <f aca="false">SUM(B29:G29)</f>
        <v>0</v>
      </c>
    </row>
    <row r="30" customFormat="false" ht="15" hidden="false" customHeight="false" outlineLevel="0" collapsed="false">
      <c r="A30" s="26" t="s">
        <v>68</v>
      </c>
      <c r="B30" s="27" t="n">
        <v>89.97</v>
      </c>
      <c r="C30" s="27" t="n">
        <v>204.09</v>
      </c>
      <c r="D30" s="27" t="n">
        <v>219.62</v>
      </c>
      <c r="E30" s="27" t="n">
        <v>81.91</v>
      </c>
      <c r="F30" s="27" t="n">
        <v>123.3</v>
      </c>
      <c r="G30" s="27" t="n">
        <v>54.57</v>
      </c>
      <c r="H30" s="27" t="n">
        <f aca="false">SUM(B30:G30)</f>
        <v>773.46</v>
      </c>
    </row>
    <row r="31" customFormat="false" ht="15" hidden="false" customHeight="false" outlineLevel="0" collapsed="false">
      <c r="A31" s="24" t="s">
        <v>69</v>
      </c>
      <c r="B31" s="25" t="n">
        <v>38.76</v>
      </c>
      <c r="C31" s="25" t="n">
        <v>37.34</v>
      </c>
      <c r="D31" s="25" t="n">
        <v>128.15</v>
      </c>
      <c r="E31" s="25" t="n">
        <v>70.66</v>
      </c>
      <c r="F31" s="25" t="n">
        <v>66.84</v>
      </c>
      <c r="G31" s="25" t="n">
        <v>34.86</v>
      </c>
      <c r="H31" s="25" t="n">
        <f aca="false">SUM(B31:G31)</f>
        <v>376.61</v>
      </c>
    </row>
    <row r="32" customFormat="false" ht="15" hidden="false" customHeight="false" outlineLevel="0" collapsed="false">
      <c r="A32" s="26" t="s">
        <v>70</v>
      </c>
      <c r="B32" s="27" t="n">
        <v>9.76</v>
      </c>
      <c r="C32" s="27" t="n">
        <v>60</v>
      </c>
      <c r="D32" s="27" t="n">
        <v>89.51</v>
      </c>
      <c r="E32" s="27" t="n">
        <v>26.04</v>
      </c>
      <c r="F32" s="27" t="n">
        <v>60.33</v>
      </c>
      <c r="G32" s="27" t="n">
        <v>17.69</v>
      </c>
      <c r="H32" s="27" t="n">
        <f aca="false">SUM(B32:G32)</f>
        <v>263.33</v>
      </c>
    </row>
    <row r="33" customFormat="false" ht="15" hidden="false" customHeight="false" outlineLevel="0" collapsed="false">
      <c r="A33" s="24" t="s">
        <v>71</v>
      </c>
      <c r="B33" s="25" t="n">
        <v>9.47</v>
      </c>
      <c r="C33" s="25" t="n">
        <v>0</v>
      </c>
      <c r="D33" s="25" t="n">
        <v>47.27</v>
      </c>
      <c r="E33" s="25" t="n">
        <v>2.73</v>
      </c>
      <c r="F33" s="25" t="n">
        <v>0</v>
      </c>
      <c r="G33" s="25" t="n">
        <v>1.04</v>
      </c>
      <c r="H33" s="25" t="n">
        <f aca="false">SUM(B33:G33)</f>
        <v>60.51</v>
      </c>
    </row>
    <row r="34" customFormat="false" ht="15" hidden="false" customHeight="false" outlineLevel="0" collapsed="false">
      <c r="A34" s="26" t="s">
        <v>72</v>
      </c>
      <c r="B34" s="27" t="n">
        <v>54.67</v>
      </c>
      <c r="C34" s="27" t="n">
        <v>110.44</v>
      </c>
      <c r="D34" s="27" t="n">
        <v>364.84</v>
      </c>
      <c r="E34" s="27" t="n">
        <v>125.07</v>
      </c>
      <c r="F34" s="27" t="n">
        <v>106.47</v>
      </c>
      <c r="G34" s="27" t="n">
        <v>102.84</v>
      </c>
      <c r="H34" s="27" t="n">
        <f aca="false">SUM(B34:G34)</f>
        <v>864.33</v>
      </c>
    </row>
    <row r="35" customFormat="false" ht="15" hidden="false" customHeight="false" outlineLevel="0" collapsed="false">
      <c r="A35" s="24" t="s">
        <v>73</v>
      </c>
      <c r="B35" s="25" t="n">
        <v>66.05</v>
      </c>
      <c r="C35" s="25" t="n">
        <v>126.81</v>
      </c>
      <c r="D35" s="25" t="n">
        <v>283.14</v>
      </c>
      <c r="E35" s="25" t="n">
        <v>211.12</v>
      </c>
      <c r="F35" s="25" t="n">
        <v>54.87</v>
      </c>
      <c r="G35" s="25" t="n">
        <v>135.39</v>
      </c>
      <c r="H35" s="25" t="n">
        <f aca="false">SUM(B35:G35)</f>
        <v>877.38</v>
      </c>
    </row>
    <row r="36" customFormat="false" ht="15" hidden="false" customHeight="false" outlineLevel="0" collapsed="false">
      <c r="A36" s="26" t="s">
        <v>74</v>
      </c>
      <c r="B36" s="27" t="n">
        <v>0</v>
      </c>
      <c r="C36" s="27" t="n">
        <v>485.92</v>
      </c>
      <c r="D36" s="27" t="n">
        <v>847.09</v>
      </c>
      <c r="E36" s="27" t="n">
        <v>615.49</v>
      </c>
      <c r="F36" s="27" t="n">
        <v>140.92</v>
      </c>
      <c r="G36" s="27" t="n">
        <v>279.87</v>
      </c>
      <c r="H36" s="27" t="n">
        <f aca="false">SUM(B36:G36)</f>
        <v>2369.29</v>
      </c>
    </row>
    <row r="37" customFormat="false" ht="15" hidden="false" customHeight="false" outlineLevel="0" collapsed="false">
      <c r="A37" s="24" t="s">
        <v>75</v>
      </c>
      <c r="B37" s="25" t="n">
        <v>8.99</v>
      </c>
      <c r="C37" s="25" t="n">
        <v>20.39</v>
      </c>
      <c r="D37" s="25" t="n">
        <v>21.94</v>
      </c>
      <c r="E37" s="25" t="n">
        <v>8.18</v>
      </c>
      <c r="F37" s="25" t="n">
        <v>12.32</v>
      </c>
      <c r="G37" s="25" t="n">
        <v>5.45</v>
      </c>
      <c r="H37" s="25" t="n">
        <f aca="false">SUM(B37:G37)</f>
        <v>77.27</v>
      </c>
    </row>
    <row r="38" customFormat="false" ht="15" hidden="false" customHeight="false" outlineLevel="0" collapsed="false">
      <c r="A38" s="26" t="s">
        <v>76</v>
      </c>
      <c r="B38" s="27" t="n">
        <v>724.15</v>
      </c>
      <c r="C38" s="27" t="n">
        <v>500.15</v>
      </c>
      <c r="D38" s="27" t="n">
        <v>680.42</v>
      </c>
      <c r="E38" s="27" t="n">
        <v>197.55</v>
      </c>
      <c r="F38" s="27" t="n">
        <v>337.95</v>
      </c>
      <c r="G38" s="27" t="n">
        <v>248.96</v>
      </c>
      <c r="H38" s="27" t="n">
        <f aca="false">SUM(B38:G38)</f>
        <v>2689.18</v>
      </c>
    </row>
    <row r="39" customFormat="false" ht="15" hidden="false" customHeight="false" outlineLevel="0" collapsed="false">
      <c r="A39" s="17" t="s">
        <v>16</v>
      </c>
      <c r="B39" s="18" t="n">
        <v>-8938.82</v>
      </c>
      <c r="C39" s="18" t="n">
        <v>-17136.1</v>
      </c>
      <c r="D39" s="18" t="n">
        <v>-17219.96</v>
      </c>
      <c r="E39" s="18" t="n">
        <v>-35403.87</v>
      </c>
      <c r="F39" s="18" t="n">
        <v>-100779.49</v>
      </c>
      <c r="G39" s="18" t="n">
        <v>45377.03</v>
      </c>
      <c r="H39" s="18" t="n">
        <f aca="false">SUM(B39:G39)</f>
        <v>-134101.21</v>
      </c>
    </row>
    <row r="40" customFormat="false" ht="15" hidden="false" customHeight="false" outlineLevel="0" collapsed="false">
      <c r="A40" s="17" t="s">
        <v>17</v>
      </c>
      <c r="B40" s="18" t="n">
        <v>-87.7</v>
      </c>
      <c r="C40" s="18" t="n">
        <v>1874.94</v>
      </c>
      <c r="D40" s="18" t="n">
        <v>1651.02</v>
      </c>
      <c r="E40" s="18" t="n">
        <v>1012.63</v>
      </c>
      <c r="F40" s="18" t="n">
        <v>-1969.72</v>
      </c>
      <c r="G40" s="18" t="n">
        <v>-2562.28</v>
      </c>
      <c r="H40" s="18" t="n">
        <f aca="false">SUM(B40:G40)</f>
        <v>-81.1100000000001</v>
      </c>
    </row>
    <row r="41" customFormat="false" ht="15" hidden="false" customHeight="false" outlineLevel="0" collapsed="false">
      <c r="A41" s="24" t="s">
        <v>77</v>
      </c>
      <c r="B41" s="25" t="n">
        <v>0</v>
      </c>
      <c r="C41" s="25" t="n">
        <v>3561.38</v>
      </c>
      <c r="D41" s="25" t="n">
        <v>3266.83</v>
      </c>
      <c r="E41" s="25" t="n">
        <v>1202.58</v>
      </c>
      <c r="F41" s="25" t="n">
        <v>1340.72</v>
      </c>
      <c r="G41" s="25" t="n">
        <v>79.72</v>
      </c>
      <c r="H41" s="25" t="n">
        <f aca="false">SUM(B41:G41)</f>
        <v>9451.23</v>
      </c>
    </row>
    <row r="42" customFormat="false" ht="15" hidden="false" customHeight="false" outlineLevel="0" collapsed="false">
      <c r="A42" s="26" t="s">
        <v>78</v>
      </c>
      <c r="B42" s="27" t="n">
        <v>62.2</v>
      </c>
      <c r="C42" s="27" t="n">
        <v>294.68</v>
      </c>
      <c r="D42" s="27" t="n">
        <v>115.52</v>
      </c>
      <c r="E42" s="27" t="n">
        <v>65.61</v>
      </c>
      <c r="F42" s="27" t="n">
        <v>19.07</v>
      </c>
      <c r="G42" s="27" t="n">
        <v>13.86</v>
      </c>
      <c r="H42" s="27" t="n">
        <f aca="false">SUM(B42:G42)</f>
        <v>570.94</v>
      </c>
    </row>
    <row r="43" customFormat="false" ht="15" hidden="false" customHeight="false" outlineLevel="0" collapsed="false">
      <c r="A43" s="24" t="s">
        <v>79</v>
      </c>
      <c r="B43" s="25" t="n">
        <v>0.21</v>
      </c>
      <c r="C43" s="25" t="n">
        <v>4.78</v>
      </c>
      <c r="D43" s="25" t="n">
        <v>2.79</v>
      </c>
      <c r="E43" s="25" t="n">
        <v>6.67</v>
      </c>
      <c r="F43" s="25" t="n">
        <v>30.62</v>
      </c>
      <c r="G43" s="25" t="n">
        <v>0.06</v>
      </c>
      <c r="H43" s="25" t="n">
        <f aca="false">SUM(B43:G43)</f>
        <v>45.13</v>
      </c>
    </row>
    <row r="44" customFormat="false" ht="15" hidden="false" customHeight="false" outlineLevel="0" collapsed="false">
      <c r="A44" s="26" t="s">
        <v>80</v>
      </c>
      <c r="B44" s="27" t="n">
        <v>0</v>
      </c>
      <c r="C44" s="27" t="n">
        <v>0</v>
      </c>
      <c r="D44" s="27" t="n">
        <v>0</v>
      </c>
      <c r="E44" s="27" t="n">
        <v>0</v>
      </c>
      <c r="F44" s="27" t="n">
        <v>0</v>
      </c>
      <c r="G44" s="27" t="n">
        <v>0</v>
      </c>
      <c r="H44" s="27" t="n">
        <f aca="false">SUM(B44:G44)</f>
        <v>0</v>
      </c>
    </row>
    <row r="45" customFormat="false" ht="15" hidden="false" customHeight="false" outlineLevel="0" collapsed="false">
      <c r="A45" s="24" t="s">
        <v>81</v>
      </c>
      <c r="B45" s="25" t="n">
        <v>150.11</v>
      </c>
      <c r="C45" s="25" t="n">
        <v>1985.9</v>
      </c>
      <c r="D45" s="25" t="n">
        <v>1734.11</v>
      </c>
      <c r="E45" s="25" t="n">
        <v>262.23</v>
      </c>
      <c r="F45" s="25" t="n">
        <v>3360.13</v>
      </c>
      <c r="G45" s="25" t="n">
        <v>2655.93</v>
      </c>
      <c r="H45" s="25" t="n">
        <f aca="false">SUM(B45:G45)</f>
        <v>10148.41</v>
      </c>
    </row>
    <row r="46" customFormat="false" ht="15" hidden="false" customHeight="false" outlineLevel="0" collapsed="false">
      <c r="A46" s="17" t="s">
        <v>82</v>
      </c>
      <c r="B46" s="18" t="n">
        <v>-9026.53</v>
      </c>
      <c r="C46" s="18" t="n">
        <v>-15261.16</v>
      </c>
      <c r="D46" s="18" t="n">
        <v>-15568.93</v>
      </c>
      <c r="E46" s="18" t="n">
        <v>-34391.24</v>
      </c>
      <c r="F46" s="18" t="n">
        <v>-102749.21</v>
      </c>
      <c r="G46" s="18" t="n">
        <v>42814.75</v>
      </c>
      <c r="H46" s="18" t="n">
        <f aca="false">SUM(B46:G46)</f>
        <v>-134182.32</v>
      </c>
    </row>
    <row r="47" customFormat="false" ht="15" hidden="false" customHeight="false" outlineLevel="0" collapsed="false">
      <c r="A47" s="24" t="s">
        <v>83</v>
      </c>
      <c r="B47" s="25" t="n">
        <v>0</v>
      </c>
      <c r="C47" s="25" t="n">
        <v>0</v>
      </c>
      <c r="D47" s="25" t="n">
        <v>0</v>
      </c>
      <c r="E47" s="25" t="n">
        <v>0</v>
      </c>
      <c r="F47" s="25" t="n">
        <v>0</v>
      </c>
      <c r="G47" s="25" t="n">
        <v>0</v>
      </c>
      <c r="H47" s="25" t="n">
        <f aca="false">SUM(B47:G47)</f>
        <v>0</v>
      </c>
    </row>
    <row r="48" customFormat="false" ht="15" hidden="false" customHeight="false" outlineLevel="0" collapsed="false">
      <c r="A48" s="11" t="s">
        <v>18</v>
      </c>
      <c r="B48" s="28" t="n">
        <v>-9026.53</v>
      </c>
      <c r="C48" s="28" t="n">
        <v>-15261.16</v>
      </c>
      <c r="D48" s="28" t="n">
        <v>-15568.93</v>
      </c>
      <c r="E48" s="28" t="n">
        <v>-34391.24</v>
      </c>
      <c r="F48" s="28" t="n">
        <v>-102749.21</v>
      </c>
      <c r="G48" s="28" t="n">
        <v>42814.75</v>
      </c>
      <c r="H48" s="28" t="n">
        <f aca="false">SUM(B48:G48)</f>
        <v>-134182.32</v>
      </c>
    </row>
    <row r="50" customFormat="false" ht="15" hidden="false" customHeight="false" outlineLevel="0" collapsed="false">
      <c r="A50" s="3" t="s">
        <v>84</v>
      </c>
      <c r="B50" s="3"/>
      <c r="C50" s="3"/>
      <c r="D50" s="3"/>
      <c r="E50" s="3"/>
      <c r="F50" s="3"/>
      <c r="G50" s="3"/>
      <c r="H50" s="3"/>
    </row>
    <row r="51" customFormat="false" ht="15" hidden="false" customHeight="false" outlineLevel="0" collapsed="false">
      <c r="A51" s="22" t="s">
        <v>3</v>
      </c>
      <c r="B51" s="23" t="s">
        <v>4</v>
      </c>
      <c r="C51" s="23" t="s">
        <v>5</v>
      </c>
      <c r="D51" s="23" t="s">
        <v>6</v>
      </c>
      <c r="E51" s="23" t="s">
        <v>7</v>
      </c>
      <c r="F51" s="23" t="s">
        <v>8</v>
      </c>
      <c r="G51" s="23" t="s">
        <v>9</v>
      </c>
      <c r="H51" s="23" t="s">
        <v>10</v>
      </c>
    </row>
    <row r="52" customFormat="false" ht="15" hidden="false" customHeight="false" outlineLevel="0" collapsed="false">
      <c r="A52" s="17" t="s">
        <v>12</v>
      </c>
      <c r="B52" s="19" t="n">
        <f aca="false">IF(B$4=0,0,B4/B$4)</f>
        <v>1</v>
      </c>
      <c r="C52" s="19" t="n">
        <f aca="false">IF(C$4=0,0,C4/C$4)</f>
        <v>1</v>
      </c>
      <c r="D52" s="19" t="n">
        <f aca="false">IF(D$4=0,0,D4/D$4)</f>
        <v>1</v>
      </c>
      <c r="E52" s="19" t="n">
        <f aca="false">IF(E$4=0,0,E4/E$4)</f>
        <v>1</v>
      </c>
      <c r="F52" s="19" t="n">
        <f aca="false">IF(F$4=0,0,F4/F$4)</f>
        <v>1</v>
      </c>
      <c r="G52" s="19" t="n">
        <f aca="false">IF(G$4=0,0,G4/G$4)</f>
        <v>1</v>
      </c>
      <c r="H52" s="19" t="n">
        <f aca="false">IF(H$4=0,0,H4/H$4)</f>
        <v>1</v>
      </c>
    </row>
    <row r="53" customFormat="false" ht="15" hidden="false" customHeight="false" outlineLevel="0" collapsed="false">
      <c r="A53" s="24" t="s">
        <v>30</v>
      </c>
      <c r="B53" s="29" t="n">
        <f aca="false">IF(B$4=0,0,B5/B$4)</f>
        <v>1.00073071089313</v>
      </c>
      <c r="C53" s="29" t="n">
        <f aca="false">IF(C$4=0,0,C5/C$4)</f>
        <v>1.03432361833538</v>
      </c>
      <c r="D53" s="29" t="n">
        <f aca="false">IF(D$4=0,0,D5/D$4)</f>
        <v>1</v>
      </c>
      <c r="E53" s="29" t="n">
        <f aca="false">IF(E$4=0,0,E5/E$4)</f>
        <v>1.11246145882565</v>
      </c>
      <c r="F53" s="29" t="n">
        <f aca="false">IF(F$4=0,0,F5/F$4)</f>
        <v>1.01465021466644</v>
      </c>
      <c r="G53" s="29" t="n">
        <f aca="false">IF(G$4=0,0,G5/G$4)</f>
        <v>1.06823968428255</v>
      </c>
      <c r="H53" s="29" t="n">
        <f aca="false">IF(H$4=0,0,H5/H$4)</f>
        <v>1.02741854939797</v>
      </c>
    </row>
    <row r="54" customFormat="false" ht="15" hidden="false" customHeight="false" outlineLevel="0" collapsed="false">
      <c r="A54" s="26" t="s">
        <v>40</v>
      </c>
      <c r="B54" s="30" t="n">
        <f aca="false">IF(B$4=0,0,B6/B$4)</f>
        <v>-0.000730710893127996</v>
      </c>
      <c r="C54" s="30" t="n">
        <f aca="false">IF(C$4=0,0,C6/C$4)</f>
        <v>-0.0343236183353769</v>
      </c>
      <c r="D54" s="30" t="n">
        <f aca="false">IF(D$4=0,0,D6/D$4)</f>
        <v>0</v>
      </c>
      <c r="E54" s="30" t="n">
        <f aca="false">IF(E$4=0,0,E6/E$4)</f>
        <v>-0.112461458825648</v>
      </c>
      <c r="F54" s="30" t="n">
        <f aca="false">IF(F$4=0,0,F6/F$4)</f>
        <v>-0.0146502146664443</v>
      </c>
      <c r="G54" s="30" t="n">
        <f aca="false">IF(G$4=0,0,G6/G$4)</f>
        <v>-0.0682396842825544</v>
      </c>
      <c r="H54" s="30" t="n">
        <f aca="false">IF(H$4=0,0,H6/H$4)</f>
        <v>-0.0274185493979669</v>
      </c>
    </row>
    <row r="55" customFormat="false" ht="15" hidden="false" customHeight="false" outlineLevel="0" collapsed="false">
      <c r="A55" s="17" t="s">
        <v>13</v>
      </c>
      <c r="B55" s="19" t="n">
        <f aca="false">IF(B$4=0,0,B7/B$4)</f>
        <v>0.980976163324956</v>
      </c>
      <c r="C55" s="19" t="n">
        <f aca="false">IF(C$4=0,0,C7/C$4)</f>
        <v>0.9667641212712</v>
      </c>
      <c r="D55" s="19" t="n">
        <f aca="false">IF(D$4=0,0,D7/D$4)</f>
        <v>0.96585730868778</v>
      </c>
      <c r="E55" s="19" t="n">
        <f aca="false">IF(E$4=0,0,E7/E$4)</f>
        <v>1.08663146760291</v>
      </c>
      <c r="F55" s="19" t="n">
        <f aca="false">IF(F$4=0,0,F7/F$4)</f>
        <v>1.13697767413763</v>
      </c>
      <c r="G55" s="19" t="n">
        <f aca="false">IF(G$4=0,0,G7/G$4)</f>
        <v>0.773190353431677</v>
      </c>
      <c r="H55" s="19" t="n">
        <f aca="false">IF(H$4=0,0,H7/H$4)</f>
        <v>0.999789474706002</v>
      </c>
    </row>
    <row r="56" customFormat="false" ht="15" hidden="false" customHeight="false" outlineLevel="0" collapsed="false">
      <c r="A56" s="26" t="s">
        <v>43</v>
      </c>
      <c r="B56" s="30" t="n">
        <f aca="false">IF(B$4=0,0,B8/B$4)</f>
        <v>0.980976163324956</v>
      </c>
      <c r="C56" s="30" t="n">
        <f aca="false">IF(C$4=0,0,C8/C$4)</f>
        <v>0.9667641212712</v>
      </c>
      <c r="D56" s="30" t="n">
        <f aca="false">IF(D$4=0,0,D8/D$4)</f>
        <v>0.96585730868778</v>
      </c>
      <c r="E56" s="30" t="n">
        <f aca="false">IF(E$4=0,0,E8/E$4)</f>
        <v>1.08663146760291</v>
      </c>
      <c r="F56" s="30" t="n">
        <f aca="false">IF(F$4=0,0,F8/F$4)</f>
        <v>1.13697767413763</v>
      </c>
      <c r="G56" s="30" t="n">
        <f aca="false">IF(G$4=0,0,G8/G$4)</f>
        <v>0.773190353431677</v>
      </c>
      <c r="H56" s="30" t="n">
        <f aca="false">IF(H$4=0,0,H8/H$4)</f>
        <v>0.999789474706002</v>
      </c>
    </row>
    <row r="57" customFormat="false" ht="15" hidden="false" customHeight="false" outlineLevel="0" collapsed="false">
      <c r="A57" s="24" t="s">
        <v>49</v>
      </c>
      <c r="B57" s="29" t="n">
        <f aca="false">IF(B$4=0,0,B9/B$4)</f>
        <v>0</v>
      </c>
      <c r="C57" s="29" t="n">
        <f aca="false">IF(C$4=0,0,C9/C$4)</f>
        <v>0</v>
      </c>
      <c r="D57" s="29" t="n">
        <f aca="false">IF(D$4=0,0,D9/D$4)</f>
        <v>0</v>
      </c>
      <c r="E57" s="29" t="n">
        <f aca="false">IF(E$4=0,0,E9/E$4)</f>
        <v>0</v>
      </c>
      <c r="F57" s="29" t="n">
        <f aca="false">IF(F$4=0,0,F9/F$4)</f>
        <v>0</v>
      </c>
      <c r="G57" s="29" t="n">
        <f aca="false">IF(G$4=0,0,G9/G$4)</f>
        <v>0</v>
      </c>
      <c r="H57" s="29" t="n">
        <f aca="false">IF(H$4=0,0,H9/H$4)</f>
        <v>0</v>
      </c>
    </row>
    <row r="58" customFormat="false" ht="15" hidden="false" customHeight="false" outlineLevel="0" collapsed="false">
      <c r="A58" s="26" t="s">
        <v>50</v>
      </c>
      <c r="B58" s="30" t="n">
        <f aca="false">IF(B$4=0,0,B10/B$4)</f>
        <v>0</v>
      </c>
      <c r="C58" s="30" t="n">
        <f aca="false">IF(C$4=0,0,C10/C$4)</f>
        <v>0</v>
      </c>
      <c r="D58" s="30" t="n">
        <f aca="false">IF(D$4=0,0,D10/D$4)</f>
        <v>0</v>
      </c>
      <c r="E58" s="30" t="n">
        <f aca="false">IF(E$4=0,0,E10/E$4)</f>
        <v>0</v>
      </c>
      <c r="F58" s="30" t="n">
        <f aca="false">IF(F$4=0,0,F10/F$4)</f>
        <v>0</v>
      </c>
      <c r="G58" s="30" t="n">
        <f aca="false">IF(G$4=0,0,G10/G$4)</f>
        <v>0</v>
      </c>
      <c r="H58" s="30" t="n">
        <f aca="false">IF(H$4=0,0,H10/H$4)</f>
        <v>0</v>
      </c>
    </row>
    <row r="59" customFormat="false" ht="15" hidden="false" customHeight="false" outlineLevel="0" collapsed="false">
      <c r="A59" s="17" t="s">
        <v>14</v>
      </c>
      <c r="B59" s="19" t="n">
        <f aca="false">IF(B$4=0,0,B11/B$4)</f>
        <v>0.019023836675044</v>
      </c>
      <c r="C59" s="19" t="n">
        <f aca="false">IF(C$4=0,0,C11/C$4)</f>
        <v>0.0332358787288</v>
      </c>
      <c r="D59" s="19" t="n">
        <f aca="false">IF(D$4=0,0,D11/D$4)</f>
        <v>0.0341426913122202</v>
      </c>
      <c r="E59" s="19" t="n">
        <f aca="false">IF(E$4=0,0,E11/E$4)</f>
        <v>-0.0866314676029077</v>
      </c>
      <c r="F59" s="19" t="n">
        <f aca="false">IF(F$4=0,0,F11/F$4)</f>
        <v>-0.136977674137627</v>
      </c>
      <c r="G59" s="19" t="n">
        <f aca="false">IF(G$4=0,0,G11/G$4)</f>
        <v>0.226809646568323</v>
      </c>
      <c r="H59" s="19" t="n">
        <f aca="false">IF(H$4=0,0,H11/H$4)</f>
        <v>0.000210525293997772</v>
      </c>
    </row>
    <row r="60" customFormat="false" ht="15" hidden="false" customHeight="false" outlineLevel="0" collapsed="false">
      <c r="A60" s="17" t="s">
        <v>15</v>
      </c>
      <c r="B60" s="19" t="n">
        <f aca="false">IF(B$4=0,0,B12/B$4)</f>
        <v>0.0685063605061834</v>
      </c>
      <c r="C60" s="19" t="n">
        <f aca="false">IF(C$4=0,0,C12/C$4)</f>
        <v>0.0767365780969571</v>
      </c>
      <c r="D60" s="19" t="n">
        <f aca="false">IF(D$4=0,0,D12/D$4)</f>
        <v>0.0580531919620542</v>
      </c>
      <c r="E60" s="19" t="n">
        <f aca="false">IF(E$4=0,0,E12/E$4)</f>
        <v>0.0727270272095064</v>
      </c>
      <c r="F60" s="19" t="n">
        <f aca="false">IF(F$4=0,0,F12/F$4)</f>
        <v>0.0391216406372835</v>
      </c>
      <c r="G60" s="19" t="n">
        <f aca="false">IF(G$4=0,0,G12/G$4)</f>
        <v>0.0462864610684108</v>
      </c>
      <c r="H60" s="19" t="n">
        <f aca="false">IF(H$4=0,0,H12/H$4)</f>
        <v>0.0575046924603354</v>
      </c>
    </row>
    <row r="61" customFormat="false" ht="15" hidden="false" customHeight="false" outlineLevel="0" collapsed="false">
      <c r="A61" s="24" t="s">
        <v>51</v>
      </c>
      <c r="B61" s="29" t="n">
        <f aca="false">IF(B$4=0,0,B13/B$4)</f>
        <v>0.00981355800848067</v>
      </c>
      <c r="C61" s="29" t="n">
        <f aca="false">IF(C$4=0,0,C13/C$4)</f>
        <v>0.0251232588779139</v>
      </c>
      <c r="D61" s="29" t="n">
        <f aca="false">IF(D$4=0,0,D13/D$4)</f>
        <v>0.0179404013418793</v>
      </c>
      <c r="E61" s="29" t="n">
        <f aca="false">IF(E$4=0,0,E13/E$4)</f>
        <v>0.0248951905115567</v>
      </c>
      <c r="F61" s="29" t="n">
        <f aca="false">IF(F$4=0,0,F13/F$4)</f>
        <v>0.0176044272544939</v>
      </c>
      <c r="G61" s="29" t="n">
        <f aca="false">IF(G$4=0,0,G13/G$4)</f>
        <v>0.018659752390955</v>
      </c>
      <c r="H61" s="29" t="n">
        <f aca="false">IF(H$4=0,0,H13/H$4)</f>
        <v>0.0191773183350856</v>
      </c>
    </row>
    <row r="62" customFormat="false" ht="15" hidden="false" customHeight="false" outlineLevel="0" collapsed="false">
      <c r="A62" s="26" t="s">
        <v>52</v>
      </c>
      <c r="B62" s="30" t="n">
        <f aca="false">IF(B$4=0,0,B14/B$4)</f>
        <v>0.00910725950200946</v>
      </c>
      <c r="C62" s="30" t="n">
        <f aca="false">IF(C$4=0,0,C14/C$4)</f>
        <v>0</v>
      </c>
      <c r="D62" s="30" t="n">
        <f aca="false">IF(D$4=0,0,D14/D$4)</f>
        <v>0</v>
      </c>
      <c r="E62" s="30" t="n">
        <f aca="false">IF(E$4=0,0,E14/E$4)</f>
        <v>0</v>
      </c>
      <c r="F62" s="30" t="n">
        <f aca="false">IF(F$4=0,0,F14/F$4)</f>
        <v>0</v>
      </c>
      <c r="G62" s="30" t="n">
        <f aca="false">IF(G$4=0,0,G14/G$4)</f>
        <v>0</v>
      </c>
      <c r="H62" s="30" t="n">
        <f aca="false">IF(H$4=0,0,H14/H$4)</f>
        <v>0.000702900270790856</v>
      </c>
    </row>
    <row r="63" customFormat="false" ht="15" hidden="false" customHeight="false" outlineLevel="0" collapsed="false">
      <c r="A63" s="24" t="s">
        <v>53</v>
      </c>
      <c r="B63" s="29" t="n">
        <f aca="false">IF(B$4=0,0,B15/B$4)</f>
        <v>0.0005718366307585</v>
      </c>
      <c r="C63" s="29" t="n">
        <f aca="false">IF(C$4=0,0,C15/C$4)</f>
        <v>0.00058373759605206</v>
      </c>
      <c r="D63" s="29" t="n">
        <f aca="false">IF(D$4=0,0,D15/D$4)</f>
        <v>0.000321653910667274</v>
      </c>
      <c r="E63" s="29" t="n">
        <f aca="false">IF(E$4=0,0,E15/E$4)</f>
        <v>0.000479778542974816</v>
      </c>
      <c r="F63" s="29" t="n">
        <f aca="false">IF(F$4=0,0,F15/F$4)</f>
        <v>0.000484214360234725</v>
      </c>
      <c r="G63" s="29" t="n">
        <f aca="false">IF(G$4=0,0,G15/G$4)</f>
        <v>0.000523066151079709</v>
      </c>
      <c r="H63" s="29" t="n">
        <f aca="false">IF(H$4=0,0,H15/H$4)</f>
        <v>0.000461459481564918</v>
      </c>
    </row>
    <row r="64" customFormat="false" ht="15" hidden="false" customHeight="false" outlineLevel="0" collapsed="false">
      <c r="A64" s="26" t="s">
        <v>54</v>
      </c>
      <c r="B64" s="30" t="n">
        <f aca="false">IF(B$4=0,0,B16/B$4)</f>
        <v>0.000681498621613543</v>
      </c>
      <c r="C64" s="30" t="n">
        <f aca="false">IF(C$4=0,0,C16/C$4)</f>
        <v>0.00192728601999863</v>
      </c>
      <c r="D64" s="30" t="n">
        <f aca="false">IF(D$4=0,0,D16/D$4)</f>
        <v>0.00138661786432356</v>
      </c>
      <c r="E64" s="30" t="n">
        <f aca="false">IF(E$4=0,0,E16/E$4)</f>
        <v>0.00186906128328044</v>
      </c>
      <c r="F64" s="30" t="n">
        <f aca="false">IF(F$4=0,0,F16/F$4)</f>
        <v>0.00135349717186033</v>
      </c>
      <c r="G64" s="30" t="n">
        <f aca="false">IF(G$4=0,0,G16/G$4)</f>
        <v>0.00144304673700291</v>
      </c>
      <c r="H64" s="30" t="n">
        <f aca="false">IF(H$4=0,0,H16/H$4)</f>
        <v>0.00146694793899817</v>
      </c>
    </row>
    <row r="65" customFormat="false" ht="15" hidden="false" customHeight="false" outlineLevel="0" collapsed="false">
      <c r="A65" s="24" t="s">
        <v>55</v>
      </c>
      <c r="B65" s="29" t="n">
        <f aca="false">IF(B$4=0,0,B17/B$4)</f>
        <v>0.00311360340112707</v>
      </c>
      <c r="C65" s="29" t="n">
        <f aca="false">IF(C$4=0,0,C17/C$4)</f>
        <v>0.0079635313141775</v>
      </c>
      <c r="D65" s="29" t="n">
        <f aca="false">IF(D$4=0,0,D17/D$4)</f>
        <v>0.00402016706841585</v>
      </c>
      <c r="E65" s="29" t="n">
        <f aca="false">IF(E$4=0,0,E17/E$4)</f>
        <v>0.00691067449868341</v>
      </c>
      <c r="F65" s="29" t="n">
        <f aca="false">IF(F$4=0,0,F17/F$4)</f>
        <v>0.00421653186911915</v>
      </c>
      <c r="G65" s="29" t="n">
        <f aca="false">IF(G$4=0,0,G17/G$4)</f>
        <v>0.00656323101160071</v>
      </c>
      <c r="H65" s="29" t="n">
        <f aca="false">IF(H$4=0,0,H17/H$4)</f>
        <v>0.00520936775735845</v>
      </c>
    </row>
    <row r="66" customFormat="false" ht="15" hidden="false" customHeight="false" outlineLevel="0" collapsed="false">
      <c r="A66" s="26" t="s">
        <v>56</v>
      </c>
      <c r="B66" s="30" t="n">
        <f aca="false">IF(B$4=0,0,B18/B$4)</f>
        <v>0.000189708047784064</v>
      </c>
      <c r="C66" s="30" t="n">
        <f aca="false">IF(C$4=0,0,C18/C$4)</f>
        <v>0</v>
      </c>
      <c r="D66" s="30" t="n">
        <f aca="false">IF(D$4=0,0,D18/D$4)</f>
        <v>5.7499194650256E-005</v>
      </c>
      <c r="E66" s="30" t="n">
        <f aca="false">IF(E$4=0,0,E18/E$4)</f>
        <v>0.000641415164404834</v>
      </c>
      <c r="F66" s="30" t="n">
        <f aca="false">IF(F$4=0,0,F18/F$4)</f>
        <v>0.000363785455801911</v>
      </c>
      <c r="G66" s="30" t="n">
        <f aca="false">IF(G$4=0,0,G18/G$4)</f>
        <v>0.000231457169682214</v>
      </c>
      <c r="H66" s="30" t="n">
        <f aca="false">IF(H$4=0,0,H18/H$4)</f>
        <v>0.000207021879668433</v>
      </c>
    </row>
    <row r="67" customFormat="false" ht="15" hidden="false" customHeight="false" outlineLevel="0" collapsed="false">
      <c r="A67" s="24" t="s">
        <v>57</v>
      </c>
      <c r="B67" s="29" t="n">
        <f aca="false">IF(B$4=0,0,B19/B$4)</f>
        <v>1.37285076890714E-005</v>
      </c>
      <c r="C67" s="29" t="n">
        <f aca="false">IF(C$4=0,0,C19/C$4)</f>
        <v>0</v>
      </c>
      <c r="D67" s="29" t="n">
        <f aca="false">IF(D$4=0,0,D19/D$4)</f>
        <v>6.04151161369872E-005</v>
      </c>
      <c r="E67" s="29" t="n">
        <f aca="false">IF(E$4=0,0,E19/E$4)</f>
        <v>5.66245808295636E-005</v>
      </c>
      <c r="F67" s="29" t="n">
        <f aca="false">IF(F$4=0,0,F19/F$4)</f>
        <v>7.06986864966872E-005</v>
      </c>
      <c r="G67" s="29" t="n">
        <f aca="false">IF(G$4=0,0,G19/G$4)</f>
        <v>0.000200187775496889</v>
      </c>
      <c r="H67" s="29" t="n">
        <f aca="false">IF(H$4=0,0,H19/H$4)</f>
        <v>6.38091378154586E-005</v>
      </c>
    </row>
    <row r="68" customFormat="false" ht="15" hidden="false" customHeight="false" outlineLevel="0" collapsed="false">
      <c r="A68" s="26" t="s">
        <v>58</v>
      </c>
      <c r="B68" s="30" t="n">
        <f aca="false">IF(B$4=0,0,B20/B$4)</f>
        <v>0.000398237436754758</v>
      </c>
      <c r="C68" s="30" t="n">
        <f aca="false">IF(C$4=0,0,C20/C$4)</f>
        <v>0.000434166736476555</v>
      </c>
      <c r="D68" s="30" t="n">
        <f aca="false">IF(D$4=0,0,D20/D$4)</f>
        <v>0.000200587627606278</v>
      </c>
      <c r="E68" s="30" t="n">
        <f aca="false">IF(E$4=0,0,E20/E$4)</f>
        <v>0.000532172034298832</v>
      </c>
      <c r="F68" s="30" t="n">
        <f aca="false">IF(F$4=0,0,F20/F$4)</f>
        <v>0.000248563721061635</v>
      </c>
      <c r="G68" s="30" t="n">
        <f aca="false">IF(G$4=0,0,G20/G$4)</f>
        <v>8.19528651676453E-005</v>
      </c>
      <c r="H68" s="30" t="n">
        <f aca="false">IF(H$4=0,0,H20/H$4)</f>
        <v>0.000285617989427601</v>
      </c>
    </row>
    <row r="69" customFormat="false" ht="15" hidden="false" customHeight="false" outlineLevel="0" collapsed="false">
      <c r="A69" s="24" t="s">
        <v>59</v>
      </c>
      <c r="B69" s="29" t="n">
        <f aca="false">IF(B$4=0,0,B21/B$4)</f>
        <v>5.33640379526809E-005</v>
      </c>
      <c r="C69" s="29" t="n">
        <f aca="false">IF(C$4=0,0,C21/C$4)</f>
        <v>5.91987855617919E-005</v>
      </c>
      <c r="D69" s="29" t="n">
        <f aca="false">IF(D$4=0,0,D21/D$4)</f>
        <v>2.03281383646402E-005</v>
      </c>
      <c r="E69" s="29" t="n">
        <f aca="false">IF(E$4=0,0,E21/E$4)</f>
        <v>3.47489478540724E-005</v>
      </c>
      <c r="F69" s="29" t="n">
        <f aca="false">IF(F$4=0,0,F21/F$4)</f>
        <v>6.0651295311419E-005</v>
      </c>
      <c r="G69" s="29" t="n">
        <f aca="false">IF(G$4=0,0,G21/G$4)</f>
        <v>0.000219283588739835</v>
      </c>
      <c r="H69" s="29" t="n">
        <f aca="false">IF(H$4=0,0,H21/H$4)</f>
        <v>6.20147060857973E-005</v>
      </c>
    </row>
    <row r="70" customFormat="false" ht="15" hidden="false" customHeight="false" outlineLevel="0" collapsed="false">
      <c r="A70" s="26" t="s">
        <v>60</v>
      </c>
      <c r="B70" s="30" t="n">
        <f aca="false">IF(B$4=0,0,B22/B$4)</f>
        <v>0.00869656676594002</v>
      </c>
      <c r="C70" s="30" t="n">
        <f aca="false">IF(C$4=0,0,C22/C$4)</f>
        <v>0.00904662538998342</v>
      </c>
      <c r="D70" s="30" t="n">
        <f aca="false">IF(D$4=0,0,D22/D$4)</f>
        <v>0.00532501416304722</v>
      </c>
      <c r="E70" s="30" t="n">
        <f aca="false">IF(E$4=0,0,E22/E$4)</f>
        <v>0.00731577881304436</v>
      </c>
      <c r="F70" s="30" t="n">
        <f aca="false">IF(F$4=0,0,F22/F$4)</f>
        <v>0.00427526105481252</v>
      </c>
      <c r="G70" s="30" t="n">
        <f aca="false">IF(G$4=0,0,G22/G$4)</f>
        <v>0.00501074139494916</v>
      </c>
      <c r="H70" s="30" t="n">
        <f aca="false">IF(H$4=0,0,H22/H$4)</f>
        <v>0.00611012976108346</v>
      </c>
    </row>
    <row r="71" customFormat="false" ht="15" hidden="false" customHeight="false" outlineLevel="0" collapsed="false">
      <c r="A71" s="24" t="s">
        <v>61</v>
      </c>
      <c r="B71" s="29" t="n">
        <f aca="false">IF(B$4=0,0,B23/B$4)</f>
        <v>0.00596869014536718</v>
      </c>
      <c r="C71" s="29" t="n">
        <f aca="false">IF(C$4=0,0,C23/C$4)</f>
        <v>0.00675419557430692</v>
      </c>
      <c r="D71" s="29" t="n">
        <f aca="false">IF(D$4=0,0,D23/D$4)</f>
        <v>0.00351431023182964</v>
      </c>
      <c r="E71" s="29" t="n">
        <f aca="false">IF(E$4=0,0,E23/E$4)</f>
        <v>0.00862016969369613</v>
      </c>
      <c r="F71" s="29" t="n">
        <f aca="false">IF(F$4=0,0,F23/F$4)</f>
        <v>0.00362441726441655</v>
      </c>
      <c r="G71" s="29" t="n">
        <f aca="false">IF(G$4=0,0,G23/G$4)</f>
        <v>0.00434091596250855</v>
      </c>
      <c r="H71" s="29" t="n">
        <f aca="false">IF(H$4=0,0,H23/H$4)</f>
        <v>0.00484936202782338</v>
      </c>
    </row>
    <row r="72" customFormat="false" ht="15" hidden="false" customHeight="false" outlineLevel="0" collapsed="false">
      <c r="A72" s="26" t="s">
        <v>62</v>
      </c>
      <c r="B72" s="30" t="n">
        <f aca="false">IF(B$4=0,0,B24/B$4)</f>
        <v>0.00219833265059841</v>
      </c>
      <c r="C72" s="30" t="n">
        <f aca="false">IF(C$4=0,0,C24/C$4)</f>
        <v>0.00260002487770577</v>
      </c>
      <c r="D72" s="30" t="n">
        <f aca="false">IF(D$4=0,0,D24/D$4)</f>
        <v>0.00183518378636571</v>
      </c>
      <c r="E72" s="30" t="n">
        <f aca="false">IF(E$4=0,0,E24/E$4)</f>
        <v>0.00472707222109693</v>
      </c>
      <c r="F72" s="30" t="n">
        <f aca="false">IF(F$4=0,0,F24/F$4)</f>
        <v>0.0045741491004195</v>
      </c>
      <c r="G72" s="30" t="n">
        <f aca="false">IF(G$4=0,0,G24/G$4)</f>
        <v>0.00400144809917092</v>
      </c>
      <c r="H72" s="30" t="n">
        <f aca="false">IF(H$4=0,0,H24/H$4)</f>
        <v>0.00316877417403952</v>
      </c>
    </row>
    <row r="73" customFormat="false" ht="15" hidden="false" customHeight="false" outlineLevel="0" collapsed="false">
      <c r="A73" s="24" t="s">
        <v>63</v>
      </c>
      <c r="B73" s="29" t="n">
        <f aca="false">IF(B$4=0,0,B25/B$4)</f>
        <v>0.000550192088393875</v>
      </c>
      <c r="C73" s="29" t="n">
        <f aca="false">IF(C$4=0,0,C25/C$4)</f>
        <v>0.000553858963716628</v>
      </c>
      <c r="D73" s="29" t="n">
        <f aca="false">IF(D$4=0,0,D25/D$4)</f>
        <v>0.000312933916887906</v>
      </c>
      <c r="E73" s="29" t="n">
        <f aca="false">IF(E$4=0,0,E25/E$4)</f>
        <v>0.000337091801138793</v>
      </c>
      <c r="F73" s="29" t="n">
        <f aca="false">IF(F$4=0,0,F25/F$4)</f>
        <v>0.000192892437033349</v>
      </c>
      <c r="G73" s="29" t="n">
        <f aca="false">IF(G$4=0,0,G25/G$4)</f>
        <v>0.000253258223134578</v>
      </c>
      <c r="H73" s="29" t="n">
        <f aca="false">IF(H$4=0,0,H25/H$4)</f>
        <v>0.000338327285258155</v>
      </c>
    </row>
    <row r="74" customFormat="false" ht="15" hidden="false" customHeight="false" outlineLevel="0" collapsed="false">
      <c r="A74" s="26" t="s">
        <v>64</v>
      </c>
      <c r="B74" s="30" t="n">
        <f aca="false">IF(B$4=0,0,B26/B$4)</f>
        <v>0.000434662267639472</v>
      </c>
      <c r="C74" s="30" t="n">
        <f aca="false">IF(C$4=0,0,C26/C$4)</f>
        <v>0.000408730551599662</v>
      </c>
      <c r="D74" s="30" t="n">
        <f aca="false">IF(D$4=0,0,D26/D$4)</f>
        <v>0.000266709618653011</v>
      </c>
      <c r="E74" s="30" t="n">
        <f aca="false">IF(E$4=0,0,E26/E$4)</f>
        <v>0.000322463034231315</v>
      </c>
      <c r="F74" s="30" t="n">
        <f aca="false">IF(F$4=0,0,F26/F$4)</f>
        <v>0.00018843663746423</v>
      </c>
      <c r="G74" s="30" t="n">
        <f aca="false">IF(G$4=0,0,G26/G$4)</f>
        <v>0.000189883992934549</v>
      </c>
      <c r="H74" s="30" t="n">
        <f aca="false">IF(H$4=0,0,H26/H$4)</f>
        <v>0.000281477979079883</v>
      </c>
    </row>
    <row r="75" customFormat="false" ht="15" hidden="false" customHeight="false" outlineLevel="0" collapsed="false">
      <c r="A75" s="24" t="s">
        <v>65</v>
      </c>
      <c r="B75" s="29" t="n">
        <f aca="false">IF(B$4=0,0,B27/B$4)</f>
        <v>0.00112784119216589</v>
      </c>
      <c r="C75" s="29" t="n">
        <f aca="false">IF(C$4=0,0,C27/C$4)</f>
        <v>0.000805047635729463</v>
      </c>
      <c r="D75" s="29" t="n">
        <f aca="false">IF(D$4=0,0,D27/D$4)</f>
        <v>0.000375070815236106</v>
      </c>
      <c r="E75" s="29" t="n">
        <f aca="false">IF(E$4=0,0,E27/E$4)</f>
        <v>0.000892309769765715</v>
      </c>
      <c r="F75" s="29" t="n">
        <f aca="false">IF(F$4=0,0,F27/F$4)</f>
        <v>7.69542796172542E-005</v>
      </c>
      <c r="G75" s="29" t="n">
        <f aca="false">IF(G$4=0,0,G27/G$4)</f>
        <v>5.16780445887239E-005</v>
      </c>
      <c r="H75" s="29" t="n">
        <f aca="false">IF(H$4=0,0,H27/H$4)</f>
        <v>0.000447010033684645</v>
      </c>
    </row>
    <row r="76" customFormat="false" ht="15" hidden="false" customHeight="false" outlineLevel="0" collapsed="false">
      <c r="A76" s="26" t="s">
        <v>66</v>
      </c>
      <c r="B76" s="30" t="n">
        <f aca="false">IF(B$4=0,0,B28/B$4)</f>
        <v>0.0195363860810646</v>
      </c>
      <c r="C76" s="30" t="n">
        <f aca="false">IF(C$4=0,0,C28/C$4)</f>
        <v>0.0160043612141336</v>
      </c>
      <c r="D76" s="30" t="n">
        <f aca="false">IF(D$4=0,0,D28/D$4)</f>
        <v>0.0178224453750708</v>
      </c>
      <c r="E76" s="30" t="n">
        <f aca="false">IF(E$4=0,0,E28/E$4)</f>
        <v>0.00853991402786218</v>
      </c>
      <c r="F76" s="30" t="n">
        <f aca="false">IF(F$4=0,0,F28/F$4)</f>
        <v>0</v>
      </c>
      <c r="G76" s="30" t="n">
        <f aca="false">IF(G$4=0,0,G28/G$4)</f>
        <v>0</v>
      </c>
      <c r="H76" s="30" t="n">
        <f aca="false">IF(H$4=0,0,H28/H$4)</f>
        <v>0.0104959003515488</v>
      </c>
    </row>
    <row r="77" customFormat="false" ht="15" hidden="false" customHeight="false" outlineLevel="0" collapsed="false">
      <c r="A77" s="24" t="s">
        <v>67</v>
      </c>
      <c r="B77" s="29" t="n">
        <f aca="false">IF(B$4=0,0,B29/B$4)</f>
        <v>0</v>
      </c>
      <c r="C77" s="29" t="n">
        <f aca="false">IF(C$4=0,0,C29/C$4)</f>
        <v>0</v>
      </c>
      <c r="D77" s="29" t="n">
        <f aca="false">IF(D$4=0,0,D29/D$4)</f>
        <v>0</v>
      </c>
      <c r="E77" s="29" t="n">
        <f aca="false">IF(E$4=0,0,E29/E$4)</f>
        <v>0</v>
      </c>
      <c r="F77" s="29" t="n">
        <f aca="false">IF(F$4=0,0,F29/F$4)</f>
        <v>0</v>
      </c>
      <c r="G77" s="29" t="n">
        <f aca="false">IF(G$4=0,0,G29/G$4)</f>
        <v>0</v>
      </c>
      <c r="H77" s="29" t="n">
        <f aca="false">IF(H$4=0,0,H29/H$4)</f>
        <v>0</v>
      </c>
    </row>
    <row r="78" customFormat="false" ht="15" hidden="false" customHeight="false" outlineLevel="0" collapsed="false">
      <c r="A78" s="26" t="s">
        <v>68</v>
      </c>
      <c r="B78" s="30" t="n">
        <f aca="false">IF(B$4=0,0,B30/B$4)</f>
        <v>0.000498045901929741</v>
      </c>
      <c r="C78" s="30" t="n">
        <f aca="false">IF(C$4=0,0,C30/C$4)</f>
        <v>0.000518090915321874</v>
      </c>
      <c r="D78" s="30" t="n">
        <f aca="false">IF(D$4=0,0,D30/D$4)</f>
        <v>0.000304949846150428</v>
      </c>
      <c r="E78" s="30" t="n">
        <f aca="false">IF(E$4=0,0,E30/E$4)</f>
        <v>0.000368689937658947</v>
      </c>
      <c r="F78" s="30" t="n">
        <f aca="false">IF(F$4=0,0,F30/F$4)</f>
        <v>0.000215451014459751</v>
      </c>
      <c r="G78" s="30" t="n">
        <f aca="false">IF(G$4=0,0,G30/G$4)</f>
        <v>0.000217095526805748</v>
      </c>
      <c r="H78" s="30" t="n">
        <f aca="false">IF(H$4=0,0,H30/H$4)</f>
        <v>0.00033045742038664</v>
      </c>
    </row>
    <row r="79" customFormat="false" ht="15" hidden="false" customHeight="false" outlineLevel="0" collapsed="false">
      <c r="A79" s="24" t="s">
        <v>69</v>
      </c>
      <c r="B79" s="29" t="n">
        <f aca="false">IF(B$4=0,0,B31/B$4)</f>
        <v>0.000214563289527584</v>
      </c>
      <c r="C79" s="29" t="n">
        <f aca="false">IF(C$4=0,0,C31/C$4)</f>
        <v>9.47891360582037E-005</v>
      </c>
      <c r="D79" s="29" t="n">
        <f aca="false">IF(D$4=0,0,D31/D$4)</f>
        <v>0.000177940637392666</v>
      </c>
      <c r="E79" s="29" t="n">
        <f aca="false">IF(E$4=0,0,E31/E$4)</f>
        <v>0.000318051898363829</v>
      </c>
      <c r="F79" s="29" t="n">
        <f aca="false">IF(F$4=0,0,F31/F$4)</f>
        <v>0.000116794369882318</v>
      </c>
      <c r="G79" s="29" t="n">
        <f aca="false">IF(G$4=0,0,G31/G$4)</f>
        <v>0.000138683343676899</v>
      </c>
      <c r="H79" s="29" t="n">
        <f aca="false">IF(H$4=0,0,H31/H$4)</f>
        <v>0.000160904984216136</v>
      </c>
    </row>
    <row r="80" customFormat="false" ht="15" hidden="false" customHeight="false" outlineLevel="0" collapsed="false">
      <c r="A80" s="26" t="s">
        <v>70</v>
      </c>
      <c r="B80" s="30" t="n">
        <f aca="false">IF(B$4=0,0,B32/B$4)</f>
        <v>5.40283205827973E-005</v>
      </c>
      <c r="C80" s="30" t="n">
        <f aca="false">IF(C$4=0,0,C32/C$4)</f>
        <v>0.000152312484292775</v>
      </c>
      <c r="D80" s="30" t="n">
        <f aca="false">IF(D$4=0,0,D32/D$4)</f>
        <v>0.000124287682036813</v>
      </c>
      <c r="E80" s="30" t="n">
        <f aca="false">IF(E$4=0,0,E32/E$4)</f>
        <v>0.000117210181621768</v>
      </c>
      <c r="F80" s="30" t="n">
        <f aca="false">IF(F$4=0,0,F32/F$4)</f>
        <v>0.000105418975688214</v>
      </c>
      <c r="G80" s="30" t="n">
        <f aca="false">IF(G$4=0,0,G32/G$4)</f>
        <v>7.0376028389109E-005</v>
      </c>
      <c r="H80" s="30" t="n">
        <f aca="false">IF(H$4=0,0,H32/H$4)</f>
        <v>0.000112506596993269</v>
      </c>
    </row>
    <row r="81" customFormat="false" ht="15" hidden="false" customHeight="false" outlineLevel="0" collapsed="false">
      <c r="A81" s="24" t="s">
        <v>71</v>
      </c>
      <c r="B81" s="29" t="n">
        <f aca="false">IF(B$4=0,0,B33/B$4)</f>
        <v>5.24229708933494E-005</v>
      </c>
      <c r="C81" s="29" t="n">
        <f aca="false">IF(C$4=0,0,C33/C$4)</f>
        <v>0</v>
      </c>
      <c r="D81" s="29" t="n">
        <f aca="false">IF(D$4=0,0,D33/D$4)</f>
        <v>6.56360041322773E-005</v>
      </c>
      <c r="E81" s="29" t="n">
        <f aca="false">IF(E$4=0,0,E33/E$4)</f>
        <v>1.22881642022821E-005</v>
      </c>
      <c r="F81" s="29" t="n">
        <f aca="false">IF(F$4=0,0,F33/F$4)</f>
        <v>0</v>
      </c>
      <c r="G81" s="29" t="n">
        <f aca="false">IF(G$4=0,0,G33/G$4)</f>
        <v>4.13742620263841E-006</v>
      </c>
      <c r="H81" s="29" t="n">
        <f aca="false">IF(H$4=0,0,H33/H$4)</f>
        <v>2.58526342766214E-005</v>
      </c>
    </row>
    <row r="82" customFormat="false" ht="15" hidden="false" customHeight="false" outlineLevel="0" collapsed="false">
      <c r="A82" s="26" t="s">
        <v>72</v>
      </c>
      <c r="B82" s="30" t="n">
        <f aca="false">IF(B$4=0,0,B34/B$4)</f>
        <v>0.000302636094903845</v>
      </c>
      <c r="C82" s="30" t="n">
        <f aca="false">IF(C$4=0,0,C34/C$4)</f>
        <v>0.000280356512754901</v>
      </c>
      <c r="D82" s="30" t="n">
        <f aca="false">IF(D$4=0,0,D34/D$4)</f>
        <v>0.000506592759628095</v>
      </c>
      <c r="E82" s="30" t="n">
        <f aca="false">IF(E$4=0,0,E34/E$4)</f>
        <v>0.000562959962190264</v>
      </c>
      <c r="F82" s="30" t="n">
        <f aca="false">IF(F$4=0,0,F34/F$4)</f>
        <v>0.000186042737303566</v>
      </c>
      <c r="G82" s="30" t="n">
        <f aca="false">IF(G$4=0,0,G34/G$4)</f>
        <v>0.000409127798730128</v>
      </c>
      <c r="H82" s="30" t="n">
        <f aca="false">IF(H$4=0,0,H34/H$4)</f>
        <v>0.000369281232594813</v>
      </c>
    </row>
    <row r="83" customFormat="false" ht="15" hidden="false" customHeight="false" outlineLevel="0" collapsed="false">
      <c r="A83" s="24" t="s">
        <v>73</v>
      </c>
      <c r="B83" s="29" t="n">
        <f aca="false">IF(B$4=0,0,B35/B$4)</f>
        <v>0.000365632230993213</v>
      </c>
      <c r="C83" s="29" t="n">
        <f aca="false">IF(C$4=0,0,C35/C$4)</f>
        <v>0.00032191243555278</v>
      </c>
      <c r="D83" s="29" t="n">
        <f aca="false">IF(D$4=0,0,D35/D$4)</f>
        <v>0.00039314952845384</v>
      </c>
      <c r="E83" s="29" t="n">
        <f aca="false">IF(E$4=0,0,E35/E$4)</f>
        <v>0.000950284698309815</v>
      </c>
      <c r="F83" s="29" t="n">
        <f aca="false">IF(F$4=0,0,F35/F$4)</f>
        <v>9.58783224931593E-005</v>
      </c>
      <c r="G83" s="29" t="n">
        <f aca="false">IF(G$4=0,0,G35/G$4)</f>
        <v>0.000538621282283859</v>
      </c>
      <c r="H83" s="29" t="n">
        <f aca="false">IF(H$4=0,0,H35/H$4)</f>
        <v>0.000374856788326261</v>
      </c>
    </row>
    <row r="84" customFormat="false" ht="15" hidden="false" customHeight="false" outlineLevel="0" collapsed="false">
      <c r="A84" s="26" t="s">
        <v>74</v>
      </c>
      <c r="B84" s="30" t="n">
        <f aca="false">IF(B$4=0,0,B36/B$4)</f>
        <v>0</v>
      </c>
      <c r="C84" s="30" t="n">
        <f aca="false">IF(C$4=0,0,C36/C$4)</f>
        <v>0.00123352803945909</v>
      </c>
      <c r="D84" s="30" t="n">
        <f aca="false">IF(D$4=0,0,D36/D$4)</f>
        <v>0.00117621330104529</v>
      </c>
      <c r="E84" s="30" t="n">
        <f aca="false">IF(E$4=0,0,E36/E$4)</f>
        <v>0.00277041838273355</v>
      </c>
      <c r="F84" s="30" t="n">
        <f aca="false">IF(F$4=0,0,F36/F$4)</f>
        <v>0.000246239715796173</v>
      </c>
      <c r="G84" s="30" t="n">
        <f aca="false">IF(G$4=0,0,G36/G$4)</f>
        <v>0.00111340526089655</v>
      </c>
      <c r="H84" s="30" t="n">
        <f aca="false">IF(H$4=0,0,H36/H$4)</f>
        <v>0.00101226884589748</v>
      </c>
    </row>
    <row r="85" customFormat="false" ht="15" hidden="false" customHeight="false" outlineLevel="0" collapsed="false">
      <c r="A85" s="24" t="s">
        <v>75</v>
      </c>
      <c r="B85" s="29" t="n">
        <f aca="false">IF(B$4=0,0,B37/B$4)</f>
        <v>4.9765840372884E-005</v>
      </c>
      <c r="C85" s="29" t="n">
        <f aca="false">IF(C$4=0,0,C37/C$4)</f>
        <v>5.17608592454947E-005</v>
      </c>
      <c r="D85" s="29" t="n">
        <f aca="false">IF(D$4=0,0,D37/D$4)</f>
        <v>3.04644368661342E-005</v>
      </c>
      <c r="E85" s="29" t="n">
        <f aca="false">IF(E$4=0,0,E37/E$4)</f>
        <v>3.68194810163617E-005</v>
      </c>
      <c r="F85" s="29" t="n">
        <f aca="false">IF(F$4=0,0,F37/F$4)</f>
        <v>2.15276277221746E-005</v>
      </c>
      <c r="G85" s="29" t="n">
        <f aca="false">IF(G$4=0,0,G37/G$4)</f>
        <v>2.16817046195955E-005</v>
      </c>
      <c r="H85" s="29" t="n">
        <f aca="false">IF(H$4=0,0,H37/H$4)</f>
        <v>3.30132713692701E-005</v>
      </c>
    </row>
    <row r="86" customFormat="false" ht="15" hidden="false" customHeight="false" outlineLevel="0" collapsed="false">
      <c r="A86" s="26" t="s">
        <v>76</v>
      </c>
      <c r="B86" s="30" t="n">
        <f aca="false">IF(B$4=0,0,B38/B$4)</f>
        <v>0.00400866888832302</v>
      </c>
      <c r="C86" s="30" t="n">
        <f aca="false">IF(C$4=0,0,C38/C$4)</f>
        <v>0.00126965148365052</v>
      </c>
      <c r="D86" s="30" t="n">
        <f aca="false">IF(D$4=0,0,D38/D$4)</f>
        <v>0.000944786332381725</v>
      </c>
      <c r="E86" s="30" t="n">
        <f aca="false">IF(E$4=0,0,E38/E$4)</f>
        <v>0.000889203970022281</v>
      </c>
      <c r="F86" s="30" t="n">
        <f aca="false">IF(F$4=0,0,F38/F$4)</f>
        <v>0.000590524495836763</v>
      </c>
      <c r="G86" s="30" t="n">
        <f aca="false">IF(G$4=0,0,G38/G$4)</f>
        <v>0.000990436180200824</v>
      </c>
      <c r="H86" s="30" t="n">
        <f aca="false">IF(H$4=0,0,H38/H$4)</f>
        <v>0.00114894045685018</v>
      </c>
    </row>
    <row r="87" customFormat="false" ht="15" hidden="false" customHeight="false" outlineLevel="0" collapsed="false">
      <c r="A87" s="17" t="s">
        <v>16</v>
      </c>
      <c r="B87" s="19" t="n">
        <f aca="false">IF(B$4=0,0,B39/B$4)</f>
        <v>-0.0494825238311394</v>
      </c>
      <c r="C87" s="19" t="n">
        <f aca="false">IF(C$4=0,0,C39/C$4)</f>
        <v>-0.043500699368157</v>
      </c>
      <c r="D87" s="19" t="n">
        <f aca="false">IF(D$4=0,0,D39/D$4)</f>
        <v>-0.0239105006498339</v>
      </c>
      <c r="E87" s="19" t="n">
        <f aca="false">IF(E$4=0,0,E39/E$4)</f>
        <v>-0.159358449800824</v>
      </c>
      <c r="F87" s="19" t="n">
        <f aca="false">IF(F$4=0,0,F39/F$4)</f>
        <v>-0.176099297301187</v>
      </c>
      <c r="G87" s="19" t="n">
        <f aca="false">IF(G$4=0,0,G39/G$4)</f>
        <v>0.180523185499912</v>
      </c>
      <c r="H87" s="19" t="n">
        <f aca="false">IF(H$4=0,0,H39/H$4)</f>
        <v>-0.0572941586214246</v>
      </c>
    </row>
    <row r="88" customFormat="false" ht="15" hidden="false" customHeight="false" outlineLevel="0" collapsed="false">
      <c r="A88" s="17" t="s">
        <v>17</v>
      </c>
      <c r="B88" s="19" t="n">
        <f aca="false">IF(B$4=0,0,B40/B$4)</f>
        <v>-0.000485479888843373</v>
      </c>
      <c r="C88" s="19" t="n">
        <f aca="false">IF(C$4=0,0,C40/C$4)</f>
        <v>0.00475961282166493</v>
      </c>
      <c r="D88" s="19" t="n">
        <f aca="false">IF(D$4=0,0,D40/D$4)</f>
        <v>0.00229249747286804</v>
      </c>
      <c r="E88" s="19" t="n">
        <f aca="false">IF(E$4=0,0,E40/E$4)</f>
        <v>0.00455800868723696</v>
      </c>
      <c r="F88" s="19" t="n">
        <f aca="false">IF(F$4=0,0,F40/F$4)</f>
        <v>-0.00344183432442547</v>
      </c>
      <c r="G88" s="19" t="n">
        <f aca="false">IF(G$4=0,0,G40/G$4)</f>
        <v>-0.0101935042408619</v>
      </c>
      <c r="H88" s="19" t="n">
        <f aca="false">IF(H$4=0,0,H40/H$4)</f>
        <v>-3.46538946649606E-005</v>
      </c>
    </row>
    <row r="89" customFormat="false" ht="15" hidden="false" customHeight="false" outlineLevel="0" collapsed="false">
      <c r="A89" s="24" t="s">
        <v>77</v>
      </c>
      <c r="B89" s="29" t="n">
        <f aca="false">IF(B$4=0,0,B41/B$4)</f>
        <v>0</v>
      </c>
      <c r="C89" s="29" t="n">
        <f aca="false">IF(C$4=0,0,C41/C$4)</f>
        <v>0.00904071058851005</v>
      </c>
      <c r="D89" s="29" t="n">
        <f aca="false">IF(D$4=0,0,D41/D$4)</f>
        <v>0.0045361046621419</v>
      </c>
      <c r="E89" s="29" t="n">
        <f aca="false">IF(E$4=0,0,E41/E$4)</f>
        <v>0.00541300384849099</v>
      </c>
      <c r="F89" s="29" t="n">
        <f aca="false">IF(F$4=0,0,F41/F$4)</f>
        <v>0.00234273709737614</v>
      </c>
      <c r="G89" s="29" t="n">
        <f aca="false">IF(G$4=0,0,G41/G$4)</f>
        <v>0.000317149631609936</v>
      </c>
      <c r="H89" s="29" t="n">
        <f aca="false">IF(H$4=0,0,H41/H$4)</f>
        <v>0.00403799690388749</v>
      </c>
    </row>
    <row r="90" customFormat="false" ht="15" hidden="false" customHeight="false" outlineLevel="0" collapsed="false">
      <c r="A90" s="26" t="s">
        <v>78</v>
      </c>
      <c r="B90" s="30" t="n">
        <f aca="false">IF(B$4=0,0,B42/B$4)</f>
        <v>0.000344319829943647</v>
      </c>
      <c r="C90" s="30" t="n">
        <f aca="false">IF(C$4=0,0,C42/C$4)</f>
        <v>0.000748057381189916</v>
      </c>
      <c r="D90" s="30" t="n">
        <f aca="false">IF(D$4=0,0,D42/D$4)</f>
        <v>0.00016040345245104</v>
      </c>
      <c r="E90" s="30" t="n">
        <f aca="false">IF(E$4=0,0,E42/E$4)</f>
        <v>0.000295321045169131</v>
      </c>
      <c r="F90" s="30" t="n">
        <f aca="false">IF(F$4=0,0,F42/F$4)</f>
        <v>3.33223912874895E-005</v>
      </c>
      <c r="G90" s="30" t="n">
        <f aca="false">IF(G$4=0,0,G42/G$4)</f>
        <v>5.5139160739008E-005</v>
      </c>
      <c r="H90" s="30" t="n">
        <f aca="false">IF(H$4=0,0,H42/H$4)</f>
        <v>0.000243931631364968</v>
      </c>
    </row>
    <row r="91" customFormat="false" ht="15" hidden="false" customHeight="false" outlineLevel="0" collapsed="false">
      <c r="A91" s="24" t="s">
        <v>79</v>
      </c>
      <c r="B91" s="29" t="n">
        <f aca="false">IF(B$4=0,0,B43/B$4)</f>
        <v>1.16249460270363E-006</v>
      </c>
      <c r="C91" s="29" t="n">
        <f aca="false">IF(C$4=0,0,C43/C$4)</f>
        <v>1.21342279153244E-005</v>
      </c>
      <c r="D91" s="29" t="n">
        <f aca="false">IF(D$4=0,0,D43/D$4)</f>
        <v>3.87400997522855E-006</v>
      </c>
      <c r="E91" s="29" t="n">
        <f aca="false">IF(E$4=0,0,E43/E$4)</f>
        <v>3.00227308531947E-005</v>
      </c>
      <c r="F91" s="29" t="n">
        <f aca="false">IF(F$4=0,0,F43/F$4)</f>
        <v>5.35045422770282E-005</v>
      </c>
      <c r="G91" s="29" t="n">
        <f aca="false">IF(G$4=0,0,G43/G$4)</f>
        <v>2.38697665536831E-007</v>
      </c>
      <c r="H91" s="29" t="n">
        <f aca="false">IF(H$4=0,0,H43/H$4)</f>
        <v>1.92815961808614E-005</v>
      </c>
    </row>
    <row r="92" customFormat="false" ht="15" hidden="false" customHeight="false" outlineLevel="0" collapsed="false">
      <c r="A92" s="26" t="s">
        <v>80</v>
      </c>
      <c r="B92" s="30" t="n">
        <f aca="false">IF(B$4=0,0,B44/B$4)</f>
        <v>0</v>
      </c>
      <c r="C92" s="30" t="n">
        <f aca="false">IF(C$4=0,0,C44/C$4)</f>
        <v>0</v>
      </c>
      <c r="D92" s="30" t="n">
        <f aca="false">IF(D$4=0,0,D44/D$4)</f>
        <v>0</v>
      </c>
      <c r="E92" s="30" t="n">
        <f aca="false">IF(E$4=0,0,E44/E$4)</f>
        <v>0</v>
      </c>
      <c r="F92" s="30" t="n">
        <f aca="false">IF(F$4=0,0,F44/F$4)</f>
        <v>0</v>
      </c>
      <c r="G92" s="30" t="n">
        <f aca="false">IF(G$4=0,0,G44/G$4)</f>
        <v>0</v>
      </c>
      <c r="H92" s="30" t="n">
        <f aca="false">IF(H$4=0,0,H44/H$4)</f>
        <v>0</v>
      </c>
    </row>
    <row r="93" customFormat="false" ht="15" hidden="false" customHeight="false" outlineLevel="0" collapsed="false">
      <c r="A93" s="24" t="s">
        <v>81</v>
      </c>
      <c r="B93" s="29" t="n">
        <f aca="false">IF(B$4=0,0,B45/B$4)</f>
        <v>0.000830962213389724</v>
      </c>
      <c r="C93" s="29" t="n">
        <f aca="false">IF(C$4=0,0,C45/C$4)</f>
        <v>0.00504128937595037</v>
      </c>
      <c r="D93" s="29" t="n">
        <f aca="false">IF(D$4=0,0,D45/D$4)</f>
        <v>0.00240787076635971</v>
      </c>
      <c r="E93" s="29" t="n">
        <f aca="false">IF(E$4=0,0,E45/E$4)</f>
        <v>0.00118033893727635</v>
      </c>
      <c r="F93" s="29" t="n">
        <f aca="false">IF(F$4=0,0,F45/F$4)</f>
        <v>0.00587139835536613</v>
      </c>
      <c r="G93" s="29" t="n">
        <f aca="false">IF(G$4=0,0,G45/G$4)</f>
        <v>0.0105660715138206</v>
      </c>
      <c r="H93" s="29" t="n">
        <f aca="false">IF(H$4=0,0,H45/H$4)</f>
        <v>0.00433586402609828</v>
      </c>
    </row>
    <row r="94" customFormat="false" ht="15" hidden="false" customHeight="false" outlineLevel="0" collapsed="false">
      <c r="A94" s="17" t="s">
        <v>82</v>
      </c>
      <c r="B94" s="19" t="n">
        <f aca="false">IF(B$4=0,0,B46/B$4)</f>
        <v>-0.0499680590768686</v>
      </c>
      <c r="C94" s="19" t="n">
        <f aca="false">IF(C$4=0,0,C46/C$4)</f>
        <v>-0.0387410865464921</v>
      </c>
      <c r="D94" s="19" t="n">
        <f aca="false">IF(D$4=0,0,D46/D$4)</f>
        <v>-0.0216179892916255</v>
      </c>
      <c r="E94" s="19" t="n">
        <f aca="false">IF(E$4=0,0,E46/E$4)</f>
        <v>-0.154800441113587</v>
      </c>
      <c r="F94" s="19" t="n">
        <f aca="false">IF(F$4=0,0,F46/F$4)</f>
        <v>-0.179541131625612</v>
      </c>
      <c r="G94" s="19" t="n">
        <f aca="false">IF(G$4=0,0,G46/G$4)</f>
        <v>0.170329681259051</v>
      </c>
      <c r="H94" s="19" t="n">
        <f aca="false">IF(H$4=0,0,H46/H$4)</f>
        <v>-0.0573288125160895</v>
      </c>
    </row>
    <row r="95" customFormat="false" ht="15" hidden="false" customHeight="false" outlineLevel="0" collapsed="false">
      <c r="A95" s="24" t="s">
        <v>83</v>
      </c>
      <c r="B95" s="29" t="n">
        <f aca="false">IF(B$4=0,0,B47/B$4)</f>
        <v>0</v>
      </c>
      <c r="C95" s="29" t="n">
        <f aca="false">IF(C$4=0,0,C47/C$4)</f>
        <v>0</v>
      </c>
      <c r="D95" s="29" t="n">
        <f aca="false">IF(D$4=0,0,D47/D$4)</f>
        <v>0</v>
      </c>
      <c r="E95" s="29" t="n">
        <f aca="false">IF(E$4=0,0,E47/E$4)</f>
        <v>0</v>
      </c>
      <c r="F95" s="29" t="n">
        <f aca="false">IF(F$4=0,0,F47/F$4)</f>
        <v>0</v>
      </c>
      <c r="G95" s="29" t="n">
        <f aca="false">IF(G$4=0,0,G47/G$4)</f>
        <v>0</v>
      </c>
      <c r="H95" s="29" t="n">
        <f aca="false">IF(H$4=0,0,H47/H$4)</f>
        <v>0</v>
      </c>
    </row>
    <row r="96" customFormat="false" ht="15" hidden="false" customHeight="false" outlineLevel="0" collapsed="false">
      <c r="A96" s="17" t="s">
        <v>18</v>
      </c>
      <c r="B96" s="19" t="n">
        <f aca="false">IF(B$4=0,0,B48/B$4)</f>
        <v>-0.0499680590768686</v>
      </c>
      <c r="C96" s="19" t="n">
        <f aca="false">IF(C$4=0,0,C48/C$4)</f>
        <v>-0.0387410865464921</v>
      </c>
      <c r="D96" s="19" t="n">
        <f aca="false">IF(D$4=0,0,D48/D$4)</f>
        <v>-0.0216179892916255</v>
      </c>
      <c r="E96" s="19" t="n">
        <f aca="false">IF(E$4=0,0,E48/E$4)</f>
        <v>-0.154800441113587</v>
      </c>
      <c r="F96" s="19" t="n">
        <f aca="false">IF(F$4=0,0,F48/F$4)</f>
        <v>-0.179541131625612</v>
      </c>
      <c r="G96" s="19" t="n">
        <f aca="false">IF(G$4=0,0,G48/G$4)</f>
        <v>0.170329681259051</v>
      </c>
      <c r="H96" s="19" t="n">
        <f aca="false">IF(H$4=0,0,H48/H$4)</f>
        <v>-0.0573288125160895</v>
      </c>
    </row>
  </sheetData>
  <mergeCells count="3">
    <mergeCell ref="A1:H1"/>
    <mergeCell ref="A2:H2"/>
    <mergeCell ref="A50:H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8" min="2" style="0" width="16"/>
  </cols>
  <sheetData>
    <row r="1" customFormat="false" ht="24" hidden="false" customHeight="true" outlineLevel="0" collapsed="false">
      <c r="A1" s="21" t="s">
        <v>88</v>
      </c>
      <c r="B1" s="21"/>
      <c r="C1" s="21"/>
      <c r="D1" s="21"/>
      <c r="E1" s="21"/>
      <c r="F1" s="21"/>
      <c r="G1" s="21"/>
      <c r="H1" s="21"/>
    </row>
    <row r="2" customFormat="false" ht="13.5" hidden="false" customHeight="true" outlineLevel="0" collapsed="false">
      <c r="A2" s="2" t="s">
        <v>39</v>
      </c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22" t="s">
        <v>3</v>
      </c>
      <c r="B3" s="23" t="s">
        <v>4</v>
      </c>
      <c r="C3" s="23" t="s">
        <v>5</v>
      </c>
      <c r="D3" s="23" t="s">
        <v>6</v>
      </c>
      <c r="E3" s="23" t="s">
        <v>7</v>
      </c>
      <c r="F3" s="23" t="s">
        <v>8</v>
      </c>
      <c r="G3" s="23" t="s">
        <v>9</v>
      </c>
      <c r="H3" s="23" t="s">
        <v>10</v>
      </c>
    </row>
    <row r="4" customFormat="false" ht="15" hidden="false" customHeight="false" outlineLevel="0" collapsed="false">
      <c r="A4" s="17" t="s">
        <v>12</v>
      </c>
      <c r="B4" s="18" t="n">
        <v>75959.56</v>
      </c>
      <c r="C4" s="18" t="n">
        <v>176030</v>
      </c>
      <c r="D4" s="18" t="n">
        <v>142630.2</v>
      </c>
      <c r="E4" s="18" t="n">
        <v>0</v>
      </c>
      <c r="F4" s="18" t="n">
        <v>53065</v>
      </c>
      <c r="G4" s="18" t="n">
        <v>71172</v>
      </c>
      <c r="H4" s="18" t="n">
        <f aca="false">SUM(B4:G4)</f>
        <v>518856.76</v>
      </c>
    </row>
    <row r="5" customFormat="false" ht="15" hidden="false" customHeight="false" outlineLevel="0" collapsed="false">
      <c r="A5" s="24" t="s">
        <v>31</v>
      </c>
      <c r="B5" s="25" t="n">
        <v>133831.84</v>
      </c>
      <c r="C5" s="25" t="n">
        <v>177040</v>
      </c>
      <c r="D5" s="25" t="n">
        <v>189007</v>
      </c>
      <c r="E5" s="25" t="n">
        <v>0</v>
      </c>
      <c r="F5" s="25" t="n">
        <v>53065</v>
      </c>
      <c r="G5" s="25" t="n">
        <v>71172</v>
      </c>
      <c r="H5" s="25" t="n">
        <f aca="false">SUM(B5:G5)</f>
        <v>624115.84</v>
      </c>
    </row>
    <row r="6" customFormat="false" ht="15" hidden="false" customHeight="false" outlineLevel="0" collapsed="false">
      <c r="A6" s="26" t="s">
        <v>40</v>
      </c>
      <c r="B6" s="27" t="n">
        <v>-57872.28</v>
      </c>
      <c r="C6" s="27" t="n">
        <v>-1010</v>
      </c>
      <c r="D6" s="27" t="n">
        <v>-46376.8</v>
      </c>
      <c r="E6" s="27" t="n">
        <v>0</v>
      </c>
      <c r="F6" s="27" t="n">
        <v>0</v>
      </c>
      <c r="G6" s="27" t="n">
        <v>0</v>
      </c>
      <c r="H6" s="27" t="n">
        <f aca="false">SUM(B6:G6)</f>
        <v>-105259.08</v>
      </c>
    </row>
    <row r="7" customFormat="false" ht="15" hidden="false" customHeight="false" outlineLevel="0" collapsed="false">
      <c r="A7" s="17" t="s">
        <v>13</v>
      </c>
      <c r="B7" s="18" t="n">
        <v>167052.97</v>
      </c>
      <c r="C7" s="18" t="n">
        <v>111257.29</v>
      </c>
      <c r="D7" s="18" t="n">
        <v>165278.66</v>
      </c>
      <c r="E7" s="18" t="n">
        <v>0</v>
      </c>
      <c r="F7" s="18" t="n">
        <v>66771.37</v>
      </c>
      <c r="G7" s="18" t="n">
        <v>62499.62</v>
      </c>
      <c r="H7" s="18" t="n">
        <f aca="false">SUM(B7:G7)</f>
        <v>572859.91</v>
      </c>
    </row>
    <row r="8" customFormat="false" ht="15" hidden="false" customHeight="false" outlineLevel="0" collapsed="false">
      <c r="A8" s="26" t="s">
        <v>45</v>
      </c>
      <c r="B8" s="27" t="n">
        <v>167052.97</v>
      </c>
      <c r="C8" s="27" t="n">
        <v>138532.29</v>
      </c>
      <c r="D8" s="27" t="n">
        <v>165278.66</v>
      </c>
      <c r="E8" s="27" t="n">
        <v>0</v>
      </c>
      <c r="F8" s="27" t="n">
        <v>48879.69</v>
      </c>
      <c r="G8" s="27" t="n">
        <v>62499.62</v>
      </c>
      <c r="H8" s="27" t="n">
        <f aca="false">SUM(B8:G8)</f>
        <v>582243.23</v>
      </c>
    </row>
    <row r="9" customFormat="false" ht="15" hidden="false" customHeight="false" outlineLevel="0" collapsed="false">
      <c r="A9" s="24" t="s">
        <v>49</v>
      </c>
      <c r="B9" s="25" t="n">
        <v>0</v>
      </c>
      <c r="C9" s="25" t="n">
        <v>0</v>
      </c>
      <c r="D9" s="25" t="n">
        <v>0</v>
      </c>
      <c r="E9" s="25" t="n">
        <v>0</v>
      </c>
      <c r="F9" s="25" t="n">
        <v>17891.67</v>
      </c>
      <c r="G9" s="25" t="n">
        <v>0</v>
      </c>
      <c r="H9" s="25" t="n">
        <f aca="false">SUM(B9:G9)</f>
        <v>17891.67</v>
      </c>
    </row>
    <row r="10" customFormat="false" ht="15" hidden="false" customHeight="false" outlineLevel="0" collapsed="false">
      <c r="A10" s="26" t="s">
        <v>50</v>
      </c>
      <c r="B10" s="27" t="n">
        <v>0</v>
      </c>
      <c r="C10" s="27" t="n">
        <v>-27275</v>
      </c>
      <c r="D10" s="27" t="n">
        <v>0</v>
      </c>
      <c r="E10" s="27" t="n">
        <v>0</v>
      </c>
      <c r="F10" s="27" t="n">
        <v>0</v>
      </c>
      <c r="G10" s="27" t="n">
        <v>0</v>
      </c>
      <c r="H10" s="27" t="n">
        <f aca="false">SUM(B10:G10)</f>
        <v>-27275</v>
      </c>
    </row>
    <row r="11" customFormat="false" ht="15" hidden="false" customHeight="false" outlineLevel="0" collapsed="false">
      <c r="A11" s="17" t="s">
        <v>14</v>
      </c>
      <c r="B11" s="18" t="n">
        <v>-91093.41</v>
      </c>
      <c r="C11" s="18" t="n">
        <v>64772.71</v>
      </c>
      <c r="D11" s="18" t="n">
        <v>-22648.46</v>
      </c>
      <c r="E11" s="18" t="n">
        <v>0</v>
      </c>
      <c r="F11" s="18" t="n">
        <v>-13706.37</v>
      </c>
      <c r="G11" s="18" t="n">
        <v>8672.38</v>
      </c>
      <c r="H11" s="18" t="n">
        <f aca="false">SUM(B11:G11)</f>
        <v>-54003.15</v>
      </c>
    </row>
    <row r="12" customFormat="false" ht="15" hidden="false" customHeight="false" outlineLevel="0" collapsed="false">
      <c r="A12" s="17" t="s">
        <v>15</v>
      </c>
      <c r="B12" s="18" t="n">
        <v>5203.71</v>
      </c>
      <c r="C12" s="18" t="n">
        <v>13507.94</v>
      </c>
      <c r="D12" s="18" t="n">
        <v>8280.14</v>
      </c>
      <c r="E12" s="18" t="n">
        <v>0</v>
      </c>
      <c r="F12" s="18" t="n">
        <v>2075.99</v>
      </c>
      <c r="G12" s="18" t="n">
        <v>3294.3</v>
      </c>
      <c r="H12" s="18" t="n">
        <f aca="false">SUM(B12:G12)</f>
        <v>32362.08</v>
      </c>
    </row>
    <row r="13" customFormat="false" ht="15" hidden="false" customHeight="false" outlineLevel="0" collapsed="false">
      <c r="A13" s="24" t="s">
        <v>51</v>
      </c>
      <c r="B13" s="25" t="n">
        <v>745.43</v>
      </c>
      <c r="C13" s="25" t="n">
        <v>4422.45</v>
      </c>
      <c r="D13" s="25" t="n">
        <v>2558.84</v>
      </c>
      <c r="E13" s="25" t="n">
        <v>0</v>
      </c>
      <c r="F13" s="25" t="n">
        <v>934.18</v>
      </c>
      <c r="G13" s="25" t="n">
        <v>1328.05</v>
      </c>
      <c r="H13" s="25" t="n">
        <f aca="false">SUM(B13:G13)</f>
        <v>9988.95</v>
      </c>
    </row>
    <row r="14" customFormat="false" ht="15" hidden="false" customHeight="false" outlineLevel="0" collapsed="false">
      <c r="A14" s="26" t="s">
        <v>52</v>
      </c>
      <c r="B14" s="27" t="n">
        <v>691.78</v>
      </c>
      <c r="C14" s="27" t="n">
        <v>0</v>
      </c>
      <c r="D14" s="27" t="n">
        <v>0</v>
      </c>
      <c r="E14" s="27" t="n">
        <v>0</v>
      </c>
      <c r="F14" s="27" t="n">
        <v>0</v>
      </c>
      <c r="G14" s="27" t="n">
        <v>0</v>
      </c>
      <c r="H14" s="27" t="n">
        <f aca="false">SUM(B14:G14)</f>
        <v>691.78</v>
      </c>
    </row>
    <row r="15" customFormat="false" ht="15" hidden="false" customHeight="false" outlineLevel="0" collapsed="false">
      <c r="A15" s="24" t="s">
        <v>53</v>
      </c>
      <c r="B15" s="25" t="n">
        <v>43.44</v>
      </c>
      <c r="C15" s="25" t="n">
        <v>102.75</v>
      </c>
      <c r="D15" s="25" t="n">
        <v>45.88</v>
      </c>
      <c r="E15" s="25" t="n">
        <v>0</v>
      </c>
      <c r="F15" s="25" t="n">
        <v>25.69</v>
      </c>
      <c r="G15" s="25" t="n">
        <v>37.23</v>
      </c>
      <c r="H15" s="25" t="n">
        <f aca="false">SUM(B15:G15)</f>
        <v>254.99</v>
      </c>
    </row>
    <row r="16" customFormat="false" ht="15" hidden="false" customHeight="false" outlineLevel="0" collapsed="false">
      <c r="A16" s="26" t="s">
        <v>54</v>
      </c>
      <c r="B16" s="27" t="n">
        <v>51.77</v>
      </c>
      <c r="C16" s="27" t="n">
        <v>339.26</v>
      </c>
      <c r="D16" s="27" t="n">
        <v>197.77</v>
      </c>
      <c r="E16" s="27" t="n">
        <v>0</v>
      </c>
      <c r="F16" s="27" t="n">
        <v>71.82</v>
      </c>
      <c r="G16" s="27" t="n">
        <v>102.7</v>
      </c>
      <c r="H16" s="27" t="n">
        <f aca="false">SUM(B16:G16)</f>
        <v>763.32</v>
      </c>
    </row>
    <row r="17" customFormat="false" ht="15" hidden="false" customHeight="false" outlineLevel="0" collapsed="false">
      <c r="A17" s="24" t="s">
        <v>55</v>
      </c>
      <c r="B17" s="25" t="n">
        <v>236.51</v>
      </c>
      <c r="C17" s="25" t="n">
        <v>1401.82</v>
      </c>
      <c r="D17" s="25" t="n">
        <v>573.4</v>
      </c>
      <c r="E17" s="25" t="n">
        <v>0</v>
      </c>
      <c r="F17" s="25" t="n">
        <v>223.75</v>
      </c>
      <c r="G17" s="25" t="n">
        <v>467.12</v>
      </c>
      <c r="H17" s="25" t="n">
        <f aca="false">SUM(B17:G17)</f>
        <v>2902.6</v>
      </c>
    </row>
    <row r="18" customFormat="false" ht="15" hidden="false" customHeight="false" outlineLevel="0" collapsed="false">
      <c r="A18" s="26" t="s">
        <v>56</v>
      </c>
      <c r="B18" s="27" t="n">
        <v>14.41</v>
      </c>
      <c r="C18" s="27" t="n">
        <v>0</v>
      </c>
      <c r="D18" s="27" t="n">
        <v>8.2</v>
      </c>
      <c r="E18" s="27" t="n">
        <v>0</v>
      </c>
      <c r="F18" s="27" t="n">
        <v>19.3</v>
      </c>
      <c r="G18" s="27" t="n">
        <v>16.47</v>
      </c>
      <c r="H18" s="27" t="n">
        <f aca="false">SUM(B18:G18)</f>
        <v>58.38</v>
      </c>
    </row>
    <row r="19" customFormat="false" ht="15" hidden="false" customHeight="false" outlineLevel="0" collapsed="false">
      <c r="A19" s="24" t="s">
        <v>57</v>
      </c>
      <c r="B19" s="25" t="n">
        <v>1.04</v>
      </c>
      <c r="C19" s="25" t="n">
        <v>0</v>
      </c>
      <c r="D19" s="25" t="n">
        <v>8.62</v>
      </c>
      <c r="E19" s="25" t="n">
        <v>0</v>
      </c>
      <c r="F19" s="25" t="n">
        <v>3.75</v>
      </c>
      <c r="G19" s="25" t="n">
        <v>14.25</v>
      </c>
      <c r="H19" s="25" t="n">
        <f aca="false">SUM(B19:G19)</f>
        <v>27.66</v>
      </c>
    </row>
    <row r="20" customFormat="false" ht="15" hidden="false" customHeight="false" outlineLevel="0" collapsed="false">
      <c r="A20" s="26" t="s">
        <v>58</v>
      </c>
      <c r="B20" s="27" t="n">
        <v>30.25</v>
      </c>
      <c r="C20" s="27" t="n">
        <v>76.43</v>
      </c>
      <c r="D20" s="27" t="n">
        <v>28.61</v>
      </c>
      <c r="E20" s="27" t="n">
        <v>0</v>
      </c>
      <c r="F20" s="27" t="n">
        <v>13.19</v>
      </c>
      <c r="G20" s="27" t="n">
        <v>5.83</v>
      </c>
      <c r="H20" s="27" t="n">
        <f aca="false">SUM(B20:G20)</f>
        <v>154.31</v>
      </c>
    </row>
    <row r="21" customFormat="false" ht="15" hidden="false" customHeight="false" outlineLevel="0" collapsed="false">
      <c r="A21" s="24" t="s">
        <v>59</v>
      </c>
      <c r="B21" s="25" t="n">
        <v>4.05</v>
      </c>
      <c r="C21" s="25" t="n">
        <v>10.42</v>
      </c>
      <c r="D21" s="25" t="n">
        <v>2.9</v>
      </c>
      <c r="E21" s="25" t="n">
        <v>0</v>
      </c>
      <c r="F21" s="25" t="n">
        <v>3.22</v>
      </c>
      <c r="G21" s="25" t="n">
        <v>15.61</v>
      </c>
      <c r="H21" s="25" t="n">
        <f aca="false">SUM(B21:G21)</f>
        <v>36.2</v>
      </c>
    </row>
    <row r="22" customFormat="false" ht="15" hidden="false" customHeight="false" outlineLevel="0" collapsed="false">
      <c r="A22" s="26" t="s">
        <v>60</v>
      </c>
      <c r="B22" s="27" t="n">
        <v>660.59</v>
      </c>
      <c r="C22" s="27" t="n">
        <v>1592.48</v>
      </c>
      <c r="D22" s="27" t="n">
        <v>759.51</v>
      </c>
      <c r="E22" s="27" t="n">
        <v>0</v>
      </c>
      <c r="F22" s="27" t="n">
        <v>226.87</v>
      </c>
      <c r="G22" s="27" t="n">
        <v>356.62</v>
      </c>
      <c r="H22" s="27" t="n">
        <f aca="false">SUM(B22:G22)</f>
        <v>3596.07</v>
      </c>
    </row>
    <row r="23" customFormat="false" ht="15" hidden="false" customHeight="false" outlineLevel="0" collapsed="false">
      <c r="A23" s="24" t="s">
        <v>61</v>
      </c>
      <c r="B23" s="25" t="n">
        <v>453.38</v>
      </c>
      <c r="C23" s="25" t="n">
        <v>1188.94</v>
      </c>
      <c r="D23" s="25" t="n">
        <v>501.25</v>
      </c>
      <c r="E23" s="25" t="n">
        <v>0</v>
      </c>
      <c r="F23" s="25" t="n">
        <v>192.33</v>
      </c>
      <c r="G23" s="25" t="n">
        <v>308.95</v>
      </c>
      <c r="H23" s="25" t="n">
        <f aca="false">SUM(B23:G23)</f>
        <v>2644.85</v>
      </c>
    </row>
    <row r="24" customFormat="false" ht="15" hidden="false" customHeight="false" outlineLevel="0" collapsed="false">
      <c r="A24" s="26" t="s">
        <v>62</v>
      </c>
      <c r="B24" s="27" t="n">
        <v>166.98</v>
      </c>
      <c r="C24" s="27" t="n">
        <v>457.68</v>
      </c>
      <c r="D24" s="27" t="n">
        <v>261.75</v>
      </c>
      <c r="E24" s="27" t="n">
        <v>0</v>
      </c>
      <c r="F24" s="27" t="n">
        <v>242.73</v>
      </c>
      <c r="G24" s="27" t="n">
        <v>284.79</v>
      </c>
      <c r="H24" s="27" t="n">
        <f aca="false">SUM(B24:G24)</f>
        <v>1413.93</v>
      </c>
    </row>
    <row r="25" customFormat="false" ht="15" hidden="false" customHeight="false" outlineLevel="0" collapsed="false">
      <c r="A25" s="24" t="s">
        <v>63</v>
      </c>
      <c r="B25" s="25" t="n">
        <v>41.79</v>
      </c>
      <c r="C25" s="25" t="n">
        <v>97.49</v>
      </c>
      <c r="D25" s="25" t="n">
        <v>44.63</v>
      </c>
      <c r="E25" s="25" t="n">
        <v>0</v>
      </c>
      <c r="F25" s="25" t="n">
        <v>10.24</v>
      </c>
      <c r="G25" s="25" t="n">
        <v>18.03</v>
      </c>
      <c r="H25" s="25" t="n">
        <f aca="false">SUM(B25:G25)</f>
        <v>212.18</v>
      </c>
    </row>
    <row r="26" customFormat="false" ht="15" hidden="false" customHeight="false" outlineLevel="0" collapsed="false">
      <c r="A26" s="26" t="s">
        <v>64</v>
      </c>
      <c r="B26" s="27" t="n">
        <v>33.01</v>
      </c>
      <c r="C26" s="27" t="n">
        <v>71.95</v>
      </c>
      <c r="D26" s="27" t="n">
        <v>38.04</v>
      </c>
      <c r="E26" s="27" t="n">
        <v>0</v>
      </c>
      <c r="F26" s="27" t="n">
        <v>10</v>
      </c>
      <c r="G26" s="27" t="n">
        <v>13.51</v>
      </c>
      <c r="H26" s="27" t="n">
        <f aca="false">SUM(B26:G26)</f>
        <v>166.51</v>
      </c>
    </row>
    <row r="27" customFormat="false" ht="15" hidden="false" customHeight="false" outlineLevel="0" collapsed="false">
      <c r="A27" s="24" t="s">
        <v>65</v>
      </c>
      <c r="B27" s="25" t="n">
        <v>85.67</v>
      </c>
      <c r="C27" s="25" t="n">
        <v>141.71</v>
      </c>
      <c r="D27" s="25" t="n">
        <v>53.5</v>
      </c>
      <c r="E27" s="25" t="n">
        <v>0</v>
      </c>
      <c r="F27" s="25" t="n">
        <v>4.08</v>
      </c>
      <c r="G27" s="25" t="n">
        <v>3.68</v>
      </c>
      <c r="H27" s="25" t="n">
        <f aca="false">SUM(B27:G27)</f>
        <v>288.64</v>
      </c>
    </row>
    <row r="28" customFormat="false" ht="15" hidden="false" customHeight="false" outlineLevel="0" collapsed="false">
      <c r="A28" s="26" t="s">
        <v>66</v>
      </c>
      <c r="B28" s="27" t="n">
        <v>1483.98</v>
      </c>
      <c r="C28" s="27" t="n">
        <v>2817.25</v>
      </c>
      <c r="D28" s="27" t="n">
        <v>2542.02</v>
      </c>
      <c r="E28" s="27" t="n">
        <v>0</v>
      </c>
      <c r="F28" s="27" t="n">
        <v>0</v>
      </c>
      <c r="G28" s="27" t="n">
        <v>0</v>
      </c>
      <c r="H28" s="27" t="n">
        <f aca="false">SUM(B28:G28)</f>
        <v>6843.25</v>
      </c>
    </row>
    <row r="29" customFormat="false" ht="15" hidden="false" customHeight="false" outlineLevel="0" collapsed="false">
      <c r="A29" s="24" t="s">
        <v>67</v>
      </c>
      <c r="B29" s="25" t="n">
        <v>0</v>
      </c>
      <c r="C29" s="25" t="n">
        <v>0</v>
      </c>
      <c r="D29" s="25" t="n">
        <v>0</v>
      </c>
      <c r="E29" s="25" t="n">
        <v>0</v>
      </c>
      <c r="F29" s="25" t="n">
        <v>0</v>
      </c>
      <c r="G29" s="25" t="n">
        <v>0</v>
      </c>
      <c r="H29" s="25" t="n">
        <f aca="false">SUM(B29:G29)</f>
        <v>0</v>
      </c>
    </row>
    <row r="30" customFormat="false" ht="15" hidden="false" customHeight="false" outlineLevel="0" collapsed="false">
      <c r="A30" s="26" t="s">
        <v>68</v>
      </c>
      <c r="B30" s="27" t="n">
        <v>37.83</v>
      </c>
      <c r="C30" s="27" t="n">
        <v>91.2</v>
      </c>
      <c r="D30" s="27" t="n">
        <v>43.5</v>
      </c>
      <c r="E30" s="27" t="n">
        <v>0</v>
      </c>
      <c r="F30" s="27" t="n">
        <v>11.43</v>
      </c>
      <c r="G30" s="27" t="n">
        <v>15.45</v>
      </c>
      <c r="H30" s="27" t="n">
        <f aca="false">SUM(B30:G30)</f>
        <v>199.41</v>
      </c>
    </row>
    <row r="31" customFormat="false" ht="15" hidden="false" customHeight="false" outlineLevel="0" collapsed="false">
      <c r="A31" s="24" t="s">
        <v>69</v>
      </c>
      <c r="B31" s="25" t="n">
        <v>16.3</v>
      </c>
      <c r="C31" s="25" t="n">
        <v>16.69</v>
      </c>
      <c r="D31" s="25" t="n">
        <v>25.38</v>
      </c>
      <c r="E31" s="25" t="n">
        <v>0</v>
      </c>
      <c r="F31" s="25" t="n">
        <v>6.2</v>
      </c>
      <c r="G31" s="25" t="n">
        <v>9.87</v>
      </c>
      <c r="H31" s="25" t="n">
        <f aca="false">SUM(B31:G31)</f>
        <v>74.44</v>
      </c>
    </row>
    <row r="32" customFormat="false" ht="15" hidden="false" customHeight="false" outlineLevel="0" collapsed="false">
      <c r="A32" s="26" t="s">
        <v>70</v>
      </c>
      <c r="B32" s="27" t="n">
        <v>4.11</v>
      </c>
      <c r="C32" s="27" t="n">
        <v>26.81</v>
      </c>
      <c r="D32" s="27" t="n">
        <v>17.73</v>
      </c>
      <c r="E32" s="27" t="n">
        <v>0</v>
      </c>
      <c r="F32" s="27" t="n">
        <v>5.59</v>
      </c>
      <c r="G32" s="27" t="n">
        <v>5.01</v>
      </c>
      <c r="H32" s="27" t="n">
        <f aca="false">SUM(B32:G32)</f>
        <v>59.25</v>
      </c>
    </row>
    <row r="33" customFormat="false" ht="15" hidden="false" customHeight="false" outlineLevel="0" collapsed="false">
      <c r="A33" s="24" t="s">
        <v>71</v>
      </c>
      <c r="B33" s="25" t="n">
        <v>3.98</v>
      </c>
      <c r="C33" s="25" t="n">
        <v>0</v>
      </c>
      <c r="D33" s="25" t="n">
        <v>9.36</v>
      </c>
      <c r="E33" s="25" t="n">
        <v>0</v>
      </c>
      <c r="F33" s="25" t="n">
        <v>0</v>
      </c>
      <c r="G33" s="25" t="n">
        <v>0.29</v>
      </c>
      <c r="H33" s="25" t="n">
        <f aca="false">SUM(B33:G33)</f>
        <v>13.63</v>
      </c>
    </row>
    <row r="34" customFormat="false" ht="15" hidden="false" customHeight="false" outlineLevel="0" collapsed="false">
      <c r="A34" s="26" t="s">
        <v>72</v>
      </c>
      <c r="B34" s="27" t="n">
        <v>22.99</v>
      </c>
      <c r="C34" s="27" t="n">
        <v>49.35</v>
      </c>
      <c r="D34" s="27" t="n">
        <v>72.25</v>
      </c>
      <c r="E34" s="27" t="n">
        <v>0</v>
      </c>
      <c r="F34" s="27" t="n">
        <v>9.87</v>
      </c>
      <c r="G34" s="27" t="n">
        <v>29.12</v>
      </c>
      <c r="H34" s="27" t="n">
        <f aca="false">SUM(B34:G34)</f>
        <v>183.58</v>
      </c>
    </row>
    <row r="35" customFormat="false" ht="15" hidden="false" customHeight="false" outlineLevel="0" collapsed="false">
      <c r="A35" s="24" t="s">
        <v>73</v>
      </c>
      <c r="B35" s="25" t="n">
        <v>27.77</v>
      </c>
      <c r="C35" s="25" t="n">
        <v>56.67</v>
      </c>
      <c r="D35" s="25" t="n">
        <v>56.07</v>
      </c>
      <c r="E35" s="25" t="n">
        <v>0</v>
      </c>
      <c r="F35" s="25" t="n">
        <v>5.09</v>
      </c>
      <c r="G35" s="25" t="n">
        <v>38.34</v>
      </c>
      <c r="H35" s="25" t="n">
        <f aca="false">SUM(B35:G35)</f>
        <v>183.94</v>
      </c>
    </row>
    <row r="36" customFormat="false" ht="15" hidden="false" customHeight="false" outlineLevel="0" collapsed="false">
      <c r="A36" s="26" t="s">
        <v>74</v>
      </c>
      <c r="B36" s="27" t="n">
        <v>0</v>
      </c>
      <c r="C36" s="27" t="n">
        <v>217.14</v>
      </c>
      <c r="D36" s="27" t="n">
        <v>167.76</v>
      </c>
      <c r="E36" s="27" t="n">
        <v>0</v>
      </c>
      <c r="F36" s="27" t="n">
        <v>13.07</v>
      </c>
      <c r="G36" s="27" t="n">
        <v>79.24</v>
      </c>
      <c r="H36" s="27" t="n">
        <f aca="false">SUM(B36:G36)</f>
        <v>477.21</v>
      </c>
    </row>
    <row r="37" customFormat="false" ht="15" hidden="false" customHeight="false" outlineLevel="0" collapsed="false">
      <c r="A37" s="24" t="s">
        <v>75</v>
      </c>
      <c r="B37" s="25" t="n">
        <v>3.78</v>
      </c>
      <c r="C37" s="25" t="n">
        <v>9.11</v>
      </c>
      <c r="D37" s="25" t="n">
        <v>4.35</v>
      </c>
      <c r="E37" s="25" t="n">
        <v>0</v>
      </c>
      <c r="F37" s="25" t="n">
        <v>1.14</v>
      </c>
      <c r="G37" s="25" t="n">
        <v>1.54</v>
      </c>
      <c r="H37" s="25" t="n">
        <f aca="false">SUM(B37:G37)</f>
        <v>19.92</v>
      </c>
    </row>
    <row r="38" customFormat="false" ht="15" hidden="false" customHeight="false" outlineLevel="0" collapsed="false">
      <c r="A38" s="26" t="s">
        <v>76</v>
      </c>
      <c r="B38" s="27" t="n">
        <v>304.5</v>
      </c>
      <c r="C38" s="27" t="n">
        <v>223.5</v>
      </c>
      <c r="D38" s="27" t="n">
        <v>134.76</v>
      </c>
      <c r="E38" s="27" t="n">
        <v>0</v>
      </c>
      <c r="F38" s="27" t="n">
        <v>31.34</v>
      </c>
      <c r="G38" s="27" t="n">
        <v>70.49</v>
      </c>
      <c r="H38" s="27" t="n">
        <f aca="false">SUM(B38:G38)</f>
        <v>764.59</v>
      </c>
    </row>
    <row r="39" customFormat="false" ht="15" hidden="false" customHeight="false" outlineLevel="0" collapsed="false">
      <c r="A39" s="17" t="s">
        <v>16</v>
      </c>
      <c r="B39" s="18" t="n">
        <v>-96297.13</v>
      </c>
      <c r="C39" s="18" t="n">
        <v>51264.77</v>
      </c>
      <c r="D39" s="18" t="n">
        <v>-30928.6</v>
      </c>
      <c r="E39" s="18" t="n">
        <v>0</v>
      </c>
      <c r="F39" s="18" t="n">
        <v>-15782.35</v>
      </c>
      <c r="G39" s="18" t="n">
        <v>5378.08</v>
      </c>
      <c r="H39" s="18" t="n">
        <f aca="false">SUM(B39:G39)</f>
        <v>-86365.23</v>
      </c>
    </row>
    <row r="40" customFormat="false" ht="15" hidden="false" customHeight="false" outlineLevel="0" collapsed="false">
      <c r="A40" s="17" t="s">
        <v>17</v>
      </c>
      <c r="B40" s="18" t="n">
        <v>-36.88</v>
      </c>
      <c r="C40" s="18" t="n">
        <v>837.83</v>
      </c>
      <c r="D40" s="18" t="n">
        <v>326.98</v>
      </c>
      <c r="E40" s="18" t="n">
        <v>0</v>
      </c>
      <c r="F40" s="18" t="n">
        <v>-182.64</v>
      </c>
      <c r="G40" s="18" t="n">
        <v>-725.49</v>
      </c>
      <c r="H40" s="18" t="n">
        <f aca="false">SUM(B40:G40)</f>
        <v>219.8</v>
      </c>
    </row>
    <row r="41" customFormat="false" ht="15" hidden="false" customHeight="false" outlineLevel="0" collapsed="false">
      <c r="A41" s="24" t="s">
        <v>77</v>
      </c>
      <c r="B41" s="25" t="n">
        <v>0</v>
      </c>
      <c r="C41" s="25" t="n">
        <v>1591.44</v>
      </c>
      <c r="D41" s="25" t="n">
        <v>646.98</v>
      </c>
      <c r="E41" s="25" t="n">
        <v>0</v>
      </c>
      <c r="F41" s="25" t="n">
        <v>124.32</v>
      </c>
      <c r="G41" s="25" t="n">
        <v>22.57</v>
      </c>
      <c r="H41" s="25" t="n">
        <f aca="false">SUM(B41:G41)</f>
        <v>2385.31</v>
      </c>
    </row>
    <row r="42" customFormat="false" ht="15" hidden="false" customHeight="false" outlineLevel="0" collapsed="false">
      <c r="A42" s="26" t="s">
        <v>78</v>
      </c>
      <c r="B42" s="27" t="n">
        <v>26.15</v>
      </c>
      <c r="C42" s="27" t="n">
        <v>131.68</v>
      </c>
      <c r="D42" s="27" t="n">
        <v>22.88</v>
      </c>
      <c r="E42" s="27" t="n">
        <v>0</v>
      </c>
      <c r="F42" s="27" t="n">
        <v>1.77</v>
      </c>
      <c r="G42" s="27" t="n">
        <v>3.93</v>
      </c>
      <c r="H42" s="27" t="n">
        <f aca="false">SUM(B42:G42)</f>
        <v>186.41</v>
      </c>
    </row>
    <row r="43" customFormat="false" ht="15" hidden="false" customHeight="false" outlineLevel="0" collapsed="false">
      <c r="A43" s="24" t="s">
        <v>79</v>
      </c>
      <c r="B43" s="25" t="n">
        <v>0.09</v>
      </c>
      <c r="C43" s="25" t="n">
        <v>2.13</v>
      </c>
      <c r="D43" s="25" t="n">
        <v>0.55</v>
      </c>
      <c r="E43" s="25" t="n">
        <v>0</v>
      </c>
      <c r="F43" s="25" t="n">
        <v>2.84</v>
      </c>
      <c r="G43" s="25" t="n">
        <v>0.02</v>
      </c>
      <c r="H43" s="25" t="n">
        <f aca="false">SUM(B43:G43)</f>
        <v>5.63</v>
      </c>
    </row>
    <row r="44" customFormat="false" ht="15" hidden="false" customHeight="false" outlineLevel="0" collapsed="false">
      <c r="A44" s="26" t="s">
        <v>80</v>
      </c>
      <c r="B44" s="27" t="n">
        <v>0</v>
      </c>
      <c r="C44" s="27" t="n">
        <v>0</v>
      </c>
      <c r="D44" s="27" t="n">
        <v>0</v>
      </c>
      <c r="E44" s="27" t="n">
        <v>0</v>
      </c>
      <c r="F44" s="27" t="n">
        <v>0</v>
      </c>
      <c r="G44" s="27" t="n">
        <v>0</v>
      </c>
      <c r="H44" s="27" t="n">
        <f aca="false">SUM(B44:G44)</f>
        <v>0</v>
      </c>
    </row>
    <row r="45" customFormat="false" ht="15" hidden="false" customHeight="false" outlineLevel="0" collapsed="false">
      <c r="A45" s="24" t="s">
        <v>81</v>
      </c>
      <c r="B45" s="25" t="n">
        <v>63.12</v>
      </c>
      <c r="C45" s="25" t="n">
        <v>887.42</v>
      </c>
      <c r="D45" s="25" t="n">
        <v>343.43</v>
      </c>
      <c r="E45" s="25" t="n">
        <v>0</v>
      </c>
      <c r="F45" s="25" t="n">
        <v>311.57</v>
      </c>
      <c r="G45" s="25" t="n">
        <v>752.01</v>
      </c>
      <c r="H45" s="25" t="n">
        <f aca="false">SUM(B45:G45)</f>
        <v>2357.55</v>
      </c>
    </row>
    <row r="46" customFormat="false" ht="15" hidden="false" customHeight="false" outlineLevel="0" collapsed="false">
      <c r="A46" s="17" t="s">
        <v>82</v>
      </c>
      <c r="B46" s="18" t="n">
        <v>-96334</v>
      </c>
      <c r="C46" s="18" t="n">
        <v>52102.6</v>
      </c>
      <c r="D46" s="18" t="n">
        <v>-30601.62</v>
      </c>
      <c r="E46" s="18" t="n">
        <v>0</v>
      </c>
      <c r="F46" s="18" t="n">
        <v>-15965</v>
      </c>
      <c r="G46" s="18" t="n">
        <v>4652.58</v>
      </c>
      <c r="H46" s="18" t="n">
        <f aca="false">SUM(B46:G46)</f>
        <v>-86145.44</v>
      </c>
    </row>
    <row r="47" customFormat="false" ht="15" hidden="false" customHeight="false" outlineLevel="0" collapsed="false">
      <c r="A47" s="24" t="s">
        <v>83</v>
      </c>
      <c r="B47" s="25" t="n">
        <v>0</v>
      </c>
      <c r="C47" s="25" t="n">
        <v>0</v>
      </c>
      <c r="D47" s="25" t="n">
        <v>0</v>
      </c>
      <c r="E47" s="25" t="n">
        <v>0</v>
      </c>
      <c r="F47" s="25" t="n">
        <v>0</v>
      </c>
      <c r="G47" s="25" t="n">
        <v>0</v>
      </c>
      <c r="H47" s="25" t="n">
        <f aca="false">SUM(B47:G47)</f>
        <v>0</v>
      </c>
    </row>
    <row r="48" customFormat="false" ht="15" hidden="false" customHeight="false" outlineLevel="0" collapsed="false">
      <c r="A48" s="11" t="s">
        <v>18</v>
      </c>
      <c r="B48" s="28" t="n">
        <v>-96334</v>
      </c>
      <c r="C48" s="28" t="n">
        <v>52102.6</v>
      </c>
      <c r="D48" s="28" t="n">
        <v>-30601.62</v>
      </c>
      <c r="E48" s="28" t="n">
        <v>0</v>
      </c>
      <c r="F48" s="28" t="n">
        <v>-15965</v>
      </c>
      <c r="G48" s="28" t="n">
        <v>4652.58</v>
      </c>
      <c r="H48" s="28" t="n">
        <f aca="false">SUM(B48:G48)</f>
        <v>-86145.44</v>
      </c>
    </row>
    <row r="50" customFormat="false" ht="15" hidden="false" customHeight="false" outlineLevel="0" collapsed="false">
      <c r="A50" s="3" t="s">
        <v>84</v>
      </c>
      <c r="B50" s="3"/>
      <c r="C50" s="3"/>
      <c r="D50" s="3"/>
      <c r="E50" s="3"/>
      <c r="F50" s="3"/>
      <c r="G50" s="3"/>
      <c r="H50" s="3"/>
    </row>
    <row r="51" customFormat="false" ht="15" hidden="false" customHeight="false" outlineLevel="0" collapsed="false">
      <c r="A51" s="22" t="s">
        <v>3</v>
      </c>
      <c r="B51" s="23" t="s">
        <v>4</v>
      </c>
      <c r="C51" s="23" t="s">
        <v>5</v>
      </c>
      <c r="D51" s="23" t="s">
        <v>6</v>
      </c>
      <c r="E51" s="23" t="s">
        <v>7</v>
      </c>
      <c r="F51" s="23" t="s">
        <v>8</v>
      </c>
      <c r="G51" s="23" t="s">
        <v>9</v>
      </c>
      <c r="H51" s="23" t="s">
        <v>10</v>
      </c>
    </row>
    <row r="52" customFormat="false" ht="15" hidden="false" customHeight="false" outlineLevel="0" collapsed="false">
      <c r="A52" s="17" t="s">
        <v>12</v>
      </c>
      <c r="B52" s="19" t="n">
        <f aca="false">IF(B$4=0,0,B4/B$4)</f>
        <v>1</v>
      </c>
      <c r="C52" s="19" t="n">
        <f aca="false">IF(C$4=0,0,C4/C$4)</f>
        <v>1</v>
      </c>
      <c r="D52" s="19" t="n">
        <f aca="false">IF(D$4=0,0,D4/D$4)</f>
        <v>1</v>
      </c>
      <c r="E52" s="19" t="n">
        <f aca="false">IF(E$4=0,0,E4/E$4)</f>
        <v>0</v>
      </c>
      <c r="F52" s="19" t="n">
        <f aca="false">IF(F$4=0,0,F4/F$4)</f>
        <v>1</v>
      </c>
      <c r="G52" s="19" t="n">
        <f aca="false">IF(G$4=0,0,G4/G$4)</f>
        <v>1</v>
      </c>
      <c r="H52" s="19" t="n">
        <f aca="false">IF(H$4=0,0,H4/H$4)</f>
        <v>1</v>
      </c>
    </row>
    <row r="53" customFormat="false" ht="15" hidden="false" customHeight="false" outlineLevel="0" collapsed="false">
      <c r="A53" s="24" t="s">
        <v>31</v>
      </c>
      <c r="B53" s="29" t="n">
        <f aca="false">IF(B$4=0,0,B5/B$4)</f>
        <v>1.76188277025301</v>
      </c>
      <c r="C53" s="29" t="n">
        <f aca="false">IF(C$4=0,0,C5/C$4)</f>
        <v>1.00573765835369</v>
      </c>
      <c r="D53" s="29" t="n">
        <f aca="false">IF(D$4=0,0,D5/D$4)</f>
        <v>1.32515413986659</v>
      </c>
      <c r="E53" s="29" t="n">
        <f aca="false">IF(E$4=0,0,E5/E$4)</f>
        <v>0</v>
      </c>
      <c r="F53" s="29" t="n">
        <f aca="false">IF(F$4=0,0,F5/F$4)</f>
        <v>1</v>
      </c>
      <c r="G53" s="29" t="n">
        <f aca="false">IF(G$4=0,0,G5/G$4)</f>
        <v>1</v>
      </c>
      <c r="H53" s="29" t="n">
        <f aca="false">IF(H$4=0,0,H5/H$4)</f>
        <v>1.20286731929637</v>
      </c>
    </row>
    <row r="54" customFormat="false" ht="15" hidden="false" customHeight="false" outlineLevel="0" collapsed="false">
      <c r="A54" s="26" t="s">
        <v>40</v>
      </c>
      <c r="B54" s="30" t="n">
        <f aca="false">IF(B$4=0,0,B6/B$4)</f>
        <v>-0.761882770253014</v>
      </c>
      <c r="C54" s="30" t="n">
        <f aca="false">IF(C$4=0,0,C6/C$4)</f>
        <v>-0.00573765835368971</v>
      </c>
      <c r="D54" s="30" t="n">
        <f aca="false">IF(D$4=0,0,D6/D$4)</f>
        <v>-0.325154139866592</v>
      </c>
      <c r="E54" s="30" t="n">
        <f aca="false">IF(E$4=0,0,E6/E$4)</f>
        <v>0</v>
      </c>
      <c r="F54" s="30" t="n">
        <f aca="false">IF(F$4=0,0,F6/F$4)</f>
        <v>0</v>
      </c>
      <c r="G54" s="30" t="n">
        <f aca="false">IF(G$4=0,0,G6/G$4)</f>
        <v>0</v>
      </c>
      <c r="H54" s="30" t="n">
        <f aca="false">IF(H$4=0,0,H6/H$4)</f>
        <v>-0.20286731929637</v>
      </c>
    </row>
    <row r="55" customFormat="false" ht="15" hidden="false" customHeight="false" outlineLevel="0" collapsed="false">
      <c r="A55" s="17" t="s">
        <v>13</v>
      </c>
      <c r="B55" s="19" t="n">
        <f aca="false">IF(B$4=0,0,B7/B$4)</f>
        <v>2.19923561958495</v>
      </c>
      <c r="C55" s="19" t="n">
        <f aca="false">IF(C$4=0,0,C7/C$4)</f>
        <v>0.632035959779583</v>
      </c>
      <c r="D55" s="19" t="n">
        <f aca="false">IF(D$4=0,0,D7/D$4)</f>
        <v>1.15879147613899</v>
      </c>
      <c r="E55" s="19" t="n">
        <f aca="false">IF(E$4=0,0,E7/E$4)</f>
        <v>0</v>
      </c>
      <c r="F55" s="19" t="n">
        <f aca="false">IF(F$4=0,0,F7/F$4)</f>
        <v>1.25829397908226</v>
      </c>
      <c r="G55" s="19" t="n">
        <f aca="false">IF(G$4=0,0,G7/G$4)</f>
        <v>0.878148991176305</v>
      </c>
      <c r="H55" s="19" t="n">
        <f aca="false">IF(H$4=0,0,H7/H$4)</f>
        <v>1.10408103770297</v>
      </c>
    </row>
    <row r="56" customFormat="false" ht="15" hidden="false" customHeight="false" outlineLevel="0" collapsed="false">
      <c r="A56" s="26" t="s">
        <v>45</v>
      </c>
      <c r="B56" s="30" t="n">
        <f aca="false">IF(B$4=0,0,B8/B$4)</f>
        <v>2.19923561958495</v>
      </c>
      <c r="C56" s="30" t="n">
        <f aca="false">IF(C$4=0,0,C8/C$4)</f>
        <v>0.786981139578481</v>
      </c>
      <c r="D56" s="30" t="n">
        <f aca="false">IF(D$4=0,0,D8/D$4)</f>
        <v>1.15879147613899</v>
      </c>
      <c r="E56" s="30" t="n">
        <f aca="false">IF(E$4=0,0,E8/E$4)</f>
        <v>0</v>
      </c>
      <c r="F56" s="30" t="n">
        <f aca="false">IF(F$4=0,0,F8/F$4)</f>
        <v>0.921128615848488</v>
      </c>
      <c r="G56" s="30" t="n">
        <f aca="false">IF(G$4=0,0,G8/G$4)</f>
        <v>0.878148991176305</v>
      </c>
      <c r="H56" s="30" t="n">
        <f aca="false">IF(H$4=0,0,H8/H$4)</f>
        <v>1.12216564355835</v>
      </c>
    </row>
    <row r="57" customFormat="false" ht="15" hidden="false" customHeight="false" outlineLevel="0" collapsed="false">
      <c r="A57" s="24" t="s">
        <v>49</v>
      </c>
      <c r="B57" s="29" t="n">
        <f aca="false">IF(B$4=0,0,B9/B$4)</f>
        <v>0</v>
      </c>
      <c r="C57" s="29" t="n">
        <f aca="false">IF(C$4=0,0,C9/C$4)</f>
        <v>0</v>
      </c>
      <c r="D57" s="29" t="n">
        <f aca="false">IF(D$4=0,0,D9/D$4)</f>
        <v>0</v>
      </c>
      <c r="E57" s="29" t="n">
        <f aca="false">IF(E$4=0,0,E9/E$4)</f>
        <v>0</v>
      </c>
      <c r="F57" s="29" t="n">
        <f aca="false">IF(F$4=0,0,F9/F$4)</f>
        <v>0.33716517478564</v>
      </c>
      <c r="G57" s="29" t="n">
        <f aca="false">IF(G$4=0,0,G9/G$4)</f>
        <v>0</v>
      </c>
      <c r="H57" s="29" t="n">
        <f aca="false">IF(H$4=0,0,H9/H$4)</f>
        <v>0.0344828696074038</v>
      </c>
    </row>
    <row r="58" customFormat="false" ht="15" hidden="false" customHeight="false" outlineLevel="0" collapsed="false">
      <c r="A58" s="26" t="s">
        <v>50</v>
      </c>
      <c r="B58" s="30" t="n">
        <f aca="false">IF(B$4=0,0,B10/B$4)</f>
        <v>0</v>
      </c>
      <c r="C58" s="30" t="n">
        <f aca="false">IF(C$4=0,0,C10/C$4)</f>
        <v>-0.154945179798898</v>
      </c>
      <c r="D58" s="30" t="n">
        <f aca="false">IF(D$4=0,0,D10/D$4)</f>
        <v>0</v>
      </c>
      <c r="E58" s="30" t="n">
        <f aca="false">IF(E$4=0,0,E10/E$4)</f>
        <v>0</v>
      </c>
      <c r="F58" s="30" t="n">
        <f aca="false">IF(F$4=0,0,F10/F$4)</f>
        <v>0</v>
      </c>
      <c r="G58" s="30" t="n">
        <f aca="false">IF(G$4=0,0,G10/G$4)</f>
        <v>0</v>
      </c>
      <c r="H58" s="30" t="n">
        <f aca="false">IF(H$4=0,0,H10/H$4)</f>
        <v>-0.0525674947359267</v>
      </c>
    </row>
    <row r="59" customFormat="false" ht="15" hidden="false" customHeight="false" outlineLevel="0" collapsed="false">
      <c r="A59" s="17" t="s">
        <v>14</v>
      </c>
      <c r="B59" s="19" t="n">
        <f aca="false">IF(B$4=0,0,B11/B$4)</f>
        <v>-1.19923561958495</v>
      </c>
      <c r="C59" s="19" t="n">
        <f aca="false">IF(C$4=0,0,C11/C$4)</f>
        <v>0.367964040220417</v>
      </c>
      <c r="D59" s="19" t="n">
        <f aca="false">IF(D$4=0,0,D11/D$4)</f>
        <v>-0.158791476138994</v>
      </c>
      <c r="E59" s="19" t="n">
        <f aca="false">IF(E$4=0,0,E11/E$4)</f>
        <v>0</v>
      </c>
      <c r="F59" s="19" t="n">
        <f aca="false">IF(F$4=0,0,F11/F$4)</f>
        <v>-0.258293979082258</v>
      </c>
      <c r="G59" s="19" t="n">
        <f aca="false">IF(G$4=0,0,G11/G$4)</f>
        <v>0.121851008823695</v>
      </c>
      <c r="H59" s="19" t="n">
        <f aca="false">IF(H$4=0,0,H11/H$4)</f>
        <v>-0.104081037702968</v>
      </c>
    </row>
    <row r="60" customFormat="false" ht="15" hidden="false" customHeight="false" outlineLevel="0" collapsed="false">
      <c r="A60" s="17" t="s">
        <v>15</v>
      </c>
      <c r="B60" s="19" t="n">
        <f aca="false">IF(B$4=0,0,B12/B$4)</f>
        <v>0.0685063209950137</v>
      </c>
      <c r="C60" s="19" t="n">
        <f aca="false">IF(C$4=0,0,C12/C$4)</f>
        <v>0.0767365789922172</v>
      </c>
      <c r="D60" s="19" t="n">
        <f aca="false">IF(D$4=0,0,D12/D$4)</f>
        <v>0.0580532033187922</v>
      </c>
      <c r="E60" s="19" t="n">
        <f aca="false">IF(E$4=0,0,E12/E$4)</f>
        <v>0</v>
      </c>
      <c r="F60" s="19" t="n">
        <f aca="false">IF(F$4=0,0,F12/F$4)</f>
        <v>0.0391216432676906</v>
      </c>
      <c r="G60" s="19" t="n">
        <f aca="false">IF(G$4=0,0,G12/G$4)</f>
        <v>0.0462864609677963</v>
      </c>
      <c r="H60" s="19" t="n">
        <f aca="false">IF(H$4=0,0,H12/H$4)</f>
        <v>0.0623718962435798</v>
      </c>
    </row>
    <row r="61" customFormat="false" ht="15" hidden="false" customHeight="false" outlineLevel="0" collapsed="false">
      <c r="A61" s="24" t="s">
        <v>51</v>
      </c>
      <c r="B61" s="29" t="n">
        <f aca="false">IF(B$4=0,0,B13/B$4)</f>
        <v>0.00981351129469418</v>
      </c>
      <c r="C61" s="29" t="n">
        <f aca="false">IF(C$4=0,0,C13/C$4)</f>
        <v>0.0251232744418565</v>
      </c>
      <c r="D61" s="29" t="n">
        <f aca="false">IF(D$4=0,0,D13/D$4)</f>
        <v>0.0179403800878075</v>
      </c>
      <c r="E61" s="29" t="n">
        <f aca="false">IF(E$4=0,0,E13/E$4)</f>
        <v>0</v>
      </c>
      <c r="F61" s="29" t="n">
        <f aca="false">IF(F$4=0,0,F13/F$4)</f>
        <v>0.0176044473758598</v>
      </c>
      <c r="G61" s="29" t="n">
        <f aca="false">IF(G$4=0,0,G13/G$4)</f>
        <v>0.0186597257348395</v>
      </c>
      <c r="H61" s="29" t="n">
        <f aca="false">IF(H$4=0,0,H13/H$4)</f>
        <v>0.0192518451527932</v>
      </c>
    </row>
    <row r="62" customFormat="false" ht="15" hidden="false" customHeight="false" outlineLevel="0" collapsed="false">
      <c r="A62" s="26" t="s">
        <v>52</v>
      </c>
      <c r="B62" s="30" t="n">
        <f aca="false">IF(B$4=0,0,B14/B$4)</f>
        <v>0.00910721441777704</v>
      </c>
      <c r="C62" s="30" t="n">
        <f aca="false">IF(C$4=0,0,C14/C$4)</f>
        <v>0</v>
      </c>
      <c r="D62" s="30" t="n">
        <f aca="false">IF(D$4=0,0,D14/D$4)</f>
        <v>0</v>
      </c>
      <c r="E62" s="30" t="n">
        <f aca="false">IF(E$4=0,0,E14/E$4)</f>
        <v>0</v>
      </c>
      <c r="F62" s="30" t="n">
        <f aca="false">IF(F$4=0,0,F14/F$4)</f>
        <v>0</v>
      </c>
      <c r="G62" s="30" t="n">
        <f aca="false">IF(G$4=0,0,G14/G$4)</f>
        <v>0</v>
      </c>
      <c r="H62" s="30" t="n">
        <f aca="false">IF(H$4=0,0,H14/H$4)</f>
        <v>0.00133327741552408</v>
      </c>
    </row>
    <row r="63" customFormat="false" ht="15" hidden="false" customHeight="false" outlineLevel="0" collapsed="false">
      <c r="A63" s="24" t="s">
        <v>53</v>
      </c>
      <c r="B63" s="29" t="n">
        <f aca="false">IF(B$4=0,0,B15/B$4)</f>
        <v>0.000571883249455368</v>
      </c>
      <c r="C63" s="29" t="n">
        <f aca="false">IF(C$4=0,0,C15/C$4)</f>
        <v>0.000583707322615463</v>
      </c>
      <c r="D63" s="29" t="n">
        <f aca="false">IF(D$4=0,0,D15/D$4)</f>
        <v>0.000321671006561023</v>
      </c>
      <c r="E63" s="29" t="n">
        <f aca="false">IF(E$4=0,0,E15/E$4)</f>
        <v>0</v>
      </c>
      <c r="F63" s="29" t="n">
        <f aca="false">IF(F$4=0,0,F15/F$4)</f>
        <v>0.000484123245076793</v>
      </c>
      <c r="G63" s="29" t="n">
        <f aca="false">IF(G$4=0,0,G15/G$4)</f>
        <v>0.000523098971505648</v>
      </c>
      <c r="H63" s="29" t="n">
        <f aca="false">IF(H$4=0,0,H15/H$4)</f>
        <v>0.000491445847212244</v>
      </c>
    </row>
    <row r="64" customFormat="false" ht="15" hidden="false" customHeight="false" outlineLevel="0" collapsed="false">
      <c r="A64" s="26" t="s">
        <v>54</v>
      </c>
      <c r="B64" s="30" t="n">
        <f aca="false">IF(B$4=0,0,B16/B$4)</f>
        <v>0.000681546865200378</v>
      </c>
      <c r="C64" s="30" t="n">
        <f aca="false">IF(C$4=0,0,C16/C$4)</f>
        <v>0.00192728512185423</v>
      </c>
      <c r="D64" s="30" t="n">
        <f aca="false">IF(D$4=0,0,D16/D$4)</f>
        <v>0.00138659274122872</v>
      </c>
      <c r="E64" s="30" t="n">
        <f aca="false">IF(E$4=0,0,E16/E$4)</f>
        <v>0</v>
      </c>
      <c r="F64" s="30" t="n">
        <f aca="false">IF(F$4=0,0,F16/F$4)</f>
        <v>0.00135343446716291</v>
      </c>
      <c r="G64" s="30" t="n">
        <f aca="false">IF(G$4=0,0,G16/G$4)</f>
        <v>0.00144298319563873</v>
      </c>
      <c r="H64" s="30" t="n">
        <f aca="false">IF(H$4=0,0,H16/H$4)</f>
        <v>0.00147115747321091</v>
      </c>
    </row>
    <row r="65" customFormat="false" ht="15" hidden="false" customHeight="false" outlineLevel="0" collapsed="false">
      <c r="A65" s="24" t="s">
        <v>55</v>
      </c>
      <c r="B65" s="29" t="n">
        <f aca="false">IF(B$4=0,0,B17/B$4)</f>
        <v>0.00311363046336761</v>
      </c>
      <c r="C65" s="29" t="n">
        <f aca="false">IF(C$4=0,0,C17/C$4)</f>
        <v>0.00796352894393001</v>
      </c>
      <c r="D65" s="29" t="n">
        <f aca="false">IF(D$4=0,0,D17/D$4)</f>
        <v>0.00402018646822342</v>
      </c>
      <c r="E65" s="29" t="n">
        <f aca="false">IF(E$4=0,0,E17/E$4)</f>
        <v>0</v>
      </c>
      <c r="F65" s="29" t="n">
        <f aca="false">IF(F$4=0,0,F17/F$4)</f>
        <v>0.00421652690097051</v>
      </c>
      <c r="G65" s="29" t="n">
        <f aca="false">IF(G$4=0,0,G17/G$4)</f>
        <v>0.00656325521272411</v>
      </c>
      <c r="H65" s="29" t="n">
        <f aca="false">IF(H$4=0,0,H17/H$4)</f>
        <v>0.00559422218956924</v>
      </c>
    </row>
    <row r="66" customFormat="false" ht="15" hidden="false" customHeight="false" outlineLevel="0" collapsed="false">
      <c r="A66" s="26" t="s">
        <v>56</v>
      </c>
      <c r="B66" s="30" t="n">
        <f aca="false">IF(B$4=0,0,B18/B$4)</f>
        <v>0.000189706206829002</v>
      </c>
      <c r="C66" s="30" t="n">
        <f aca="false">IF(C$4=0,0,C18/C$4)</f>
        <v>0</v>
      </c>
      <c r="D66" s="30" t="n">
        <f aca="false">IF(D$4=0,0,D18/D$4)</f>
        <v>5.74913307279945E-005</v>
      </c>
      <c r="E66" s="30" t="n">
        <f aca="false">IF(E$4=0,0,E18/E$4)</f>
        <v>0</v>
      </c>
      <c r="F66" s="30" t="n">
        <f aca="false">IF(F$4=0,0,F18/F$4)</f>
        <v>0.000363704890228965</v>
      </c>
      <c r="G66" s="30" t="n">
        <f aca="false">IF(G$4=0,0,G18/G$4)</f>
        <v>0.000231411229135053</v>
      </c>
      <c r="H66" s="30" t="n">
        <f aca="false">IF(H$4=0,0,H18/H$4)</f>
        <v>0.000112516602848154</v>
      </c>
    </row>
    <row r="67" customFormat="false" ht="15" hidden="false" customHeight="false" outlineLevel="0" collapsed="false">
      <c r="A67" s="24" t="s">
        <v>57</v>
      </c>
      <c r="B67" s="29" t="n">
        <f aca="false">IF(B$4=0,0,B19/B$4)</f>
        <v>1.36914958433145E-005</v>
      </c>
      <c r="C67" s="29" t="n">
        <f aca="false">IF(C$4=0,0,C19/C$4)</f>
        <v>0</v>
      </c>
      <c r="D67" s="29" t="n">
        <f aca="false">IF(D$4=0,0,D19/D$4)</f>
        <v>6.04360086433308E-005</v>
      </c>
      <c r="E67" s="29" t="n">
        <f aca="false">IF(E$4=0,0,E19/E$4)</f>
        <v>0</v>
      </c>
      <c r="F67" s="29" t="n">
        <f aca="false">IF(F$4=0,0,F19/F$4)</f>
        <v>7.06680486196175E-005</v>
      </c>
      <c r="G67" s="29" t="n">
        <f aca="false">IF(G$4=0,0,G19/G$4)</f>
        <v>0.000200219187320857</v>
      </c>
      <c r="H67" s="29" t="n">
        <f aca="false">IF(H$4=0,0,H19/H$4)</f>
        <v>5.33095107019517E-005</v>
      </c>
    </row>
    <row r="68" customFormat="false" ht="15" hidden="false" customHeight="false" outlineLevel="0" collapsed="false">
      <c r="A68" s="26" t="s">
        <v>58</v>
      </c>
      <c r="B68" s="30" t="n">
        <f aca="false">IF(B$4=0,0,B20/B$4)</f>
        <v>0.000398238220442562</v>
      </c>
      <c r="C68" s="30" t="n">
        <f aca="false">IF(C$4=0,0,C20/C$4)</f>
        <v>0.000434187354428223</v>
      </c>
      <c r="D68" s="30" t="n">
        <f aca="false">IF(D$4=0,0,D20/D$4)</f>
        <v>0.000200588655137552</v>
      </c>
      <c r="E68" s="30" t="n">
        <f aca="false">IF(E$4=0,0,E20/E$4)</f>
        <v>0</v>
      </c>
      <c r="F68" s="30" t="n">
        <f aca="false">IF(F$4=0,0,F20/F$4)</f>
        <v>0.000248563083011401</v>
      </c>
      <c r="G68" s="30" t="n">
        <f aca="false">IF(G$4=0,0,G20/G$4)</f>
        <v>8.19142359354803E-005</v>
      </c>
      <c r="H68" s="30" t="n">
        <f aca="false">IF(H$4=0,0,H20/H$4)</f>
        <v>0.000297403853811214</v>
      </c>
    </row>
    <row r="69" customFormat="false" ht="15" hidden="false" customHeight="false" outlineLevel="0" collapsed="false">
      <c r="A69" s="24" t="s">
        <v>59</v>
      </c>
      <c r="B69" s="29" t="n">
        <f aca="false">IF(B$4=0,0,B21/B$4)</f>
        <v>5.33178443898306E-005</v>
      </c>
      <c r="C69" s="29" t="n">
        <f aca="false">IF(C$4=0,0,C21/C$4)</f>
        <v>5.91944554905414E-005</v>
      </c>
      <c r="D69" s="29" t="n">
        <f aca="false">IF(D$4=0,0,D21/D$4)</f>
        <v>2.03322998916078E-005</v>
      </c>
      <c r="E69" s="29" t="n">
        <f aca="false">IF(E$4=0,0,E21/E$4)</f>
        <v>0</v>
      </c>
      <c r="F69" s="29" t="n">
        <f aca="false">IF(F$4=0,0,F21/F$4)</f>
        <v>6.06802977480449E-005</v>
      </c>
      <c r="G69" s="29" t="n">
        <f aca="false">IF(G$4=0,0,G21/G$4)</f>
        <v>0.000219327825549373</v>
      </c>
      <c r="H69" s="29" t="n">
        <f aca="false">IF(H$4=0,0,H21/H$4)</f>
        <v>6.97687739483244E-005</v>
      </c>
    </row>
    <row r="70" customFormat="false" ht="15" hidden="false" customHeight="false" outlineLevel="0" collapsed="false">
      <c r="A70" s="26" t="s">
        <v>60</v>
      </c>
      <c r="B70" s="30" t="n">
        <f aca="false">IF(B$4=0,0,B22/B$4)</f>
        <v>0.0086966011914761</v>
      </c>
      <c r="C70" s="30" t="n">
        <f aca="false">IF(C$4=0,0,C22/C$4)</f>
        <v>0.00904663977731069</v>
      </c>
      <c r="D70" s="30" t="n">
        <f aca="false">IF(D$4=0,0,D22/D$4)</f>
        <v>0.00532502934161208</v>
      </c>
      <c r="E70" s="30" t="n">
        <f aca="false">IF(E$4=0,0,E22/E$4)</f>
        <v>0</v>
      </c>
      <c r="F70" s="30" t="n">
        <f aca="false">IF(F$4=0,0,F22/F$4)</f>
        <v>0.00427532271742203</v>
      </c>
      <c r="G70" s="30" t="n">
        <f aca="false">IF(G$4=0,0,G22/G$4)</f>
        <v>0.00501067835665711</v>
      </c>
      <c r="H70" s="30" t="n">
        <f aca="false">IF(H$4=0,0,H22/H$4)</f>
        <v>0.00693075676608704</v>
      </c>
    </row>
    <row r="71" customFormat="false" ht="15" hidden="false" customHeight="false" outlineLevel="0" collapsed="false">
      <c r="A71" s="24" t="s">
        <v>61</v>
      </c>
      <c r="B71" s="29" t="n">
        <f aca="false">IF(B$4=0,0,B23/B$4)</f>
        <v>0.00596870229369417</v>
      </c>
      <c r="C71" s="29" t="n">
        <f aca="false">IF(C$4=0,0,C23/C$4)</f>
        <v>0.00675418962676817</v>
      </c>
      <c r="D71" s="29" t="n">
        <f aca="false">IF(D$4=0,0,D23/D$4)</f>
        <v>0.003514332869196</v>
      </c>
      <c r="E71" s="29" t="n">
        <f aca="false">IF(E$4=0,0,E23/E$4)</f>
        <v>0</v>
      </c>
      <c r="F71" s="29" t="n">
        <f aca="false">IF(F$4=0,0,F23/F$4)</f>
        <v>0.00362442287760294</v>
      </c>
      <c r="G71" s="29" t="n">
        <f aca="false">IF(G$4=0,0,G23/G$4)</f>
        <v>0.00434089248580903</v>
      </c>
      <c r="H71" s="29" t="n">
        <f aca="false">IF(H$4=0,0,H23/H$4)</f>
        <v>0.00509745695517198</v>
      </c>
    </row>
    <row r="72" customFormat="false" ht="15" hidden="false" customHeight="false" outlineLevel="0" collapsed="false">
      <c r="A72" s="26" t="s">
        <v>62</v>
      </c>
      <c r="B72" s="30" t="n">
        <f aca="false">IF(B$4=0,0,B24/B$4)</f>
        <v>0.00219827497684294</v>
      </c>
      <c r="C72" s="30" t="n">
        <f aca="false">IF(C$4=0,0,C24/C$4)</f>
        <v>0.00260001136169971</v>
      </c>
      <c r="D72" s="30" t="n">
        <f aca="false">IF(D$4=0,0,D24/D$4)</f>
        <v>0.00183516534366495</v>
      </c>
      <c r="E72" s="30" t="n">
        <f aca="false">IF(E$4=0,0,E24/E$4)</f>
        <v>0</v>
      </c>
      <c r="F72" s="30" t="n">
        <f aca="false">IF(F$4=0,0,F24/F$4)</f>
        <v>0.0045742014510506</v>
      </c>
      <c r="G72" s="30" t="n">
        <f aca="false">IF(G$4=0,0,G24/G$4)</f>
        <v>0.00400143314786714</v>
      </c>
      <c r="H72" s="30" t="n">
        <f aca="false">IF(H$4=0,0,H24/H$4)</f>
        <v>0.00272508736322526</v>
      </c>
    </row>
    <row r="73" customFormat="false" ht="15" hidden="false" customHeight="false" outlineLevel="0" collapsed="false">
      <c r="A73" s="24" t="s">
        <v>63</v>
      </c>
      <c r="B73" s="29" t="n">
        <f aca="false">IF(B$4=0,0,B25/B$4)</f>
        <v>0.000550161164703956</v>
      </c>
      <c r="C73" s="29" t="n">
        <f aca="false">IF(C$4=0,0,C25/C$4)</f>
        <v>0.000553826052377436</v>
      </c>
      <c r="D73" s="29" t="n">
        <f aca="false">IF(D$4=0,0,D25/D$4)</f>
        <v>0.000312907084193951</v>
      </c>
      <c r="E73" s="29" t="n">
        <f aca="false">IF(E$4=0,0,E25/E$4)</f>
        <v>0</v>
      </c>
      <c r="F73" s="29" t="n">
        <f aca="false">IF(F$4=0,0,F25/F$4)</f>
        <v>0.000192970884763969</v>
      </c>
      <c r="G73" s="29" t="n">
        <f aca="false">IF(G$4=0,0,G25/G$4)</f>
        <v>0.000253329961220705</v>
      </c>
      <c r="H73" s="29" t="n">
        <f aca="false">IF(H$4=0,0,H25/H$4)</f>
        <v>0.000408937526418659</v>
      </c>
    </row>
    <row r="74" customFormat="false" ht="15" hidden="false" customHeight="false" outlineLevel="0" collapsed="false">
      <c r="A74" s="26" t="s">
        <v>64</v>
      </c>
      <c r="B74" s="30" t="n">
        <f aca="false">IF(B$4=0,0,B26/B$4)</f>
        <v>0.000434573344026743</v>
      </c>
      <c r="C74" s="30" t="n">
        <f aca="false">IF(C$4=0,0,C26/C$4)</f>
        <v>0.000408737147077203</v>
      </c>
      <c r="D74" s="30" t="n">
        <f aca="false">IF(D$4=0,0,D26/D$4)</f>
        <v>0.000266703685474745</v>
      </c>
      <c r="E74" s="30" t="n">
        <f aca="false">IF(E$4=0,0,E26/E$4)</f>
        <v>0</v>
      </c>
      <c r="F74" s="30" t="n">
        <f aca="false">IF(F$4=0,0,F26/F$4)</f>
        <v>0.000188448129652313</v>
      </c>
      <c r="G74" s="30" t="n">
        <f aca="false">IF(G$4=0,0,G26/G$4)</f>
        <v>0.000189821840049458</v>
      </c>
      <c r="H74" s="30" t="n">
        <f aca="false">IF(H$4=0,0,H26/H$4)</f>
        <v>0.000320917087020318</v>
      </c>
    </row>
    <row r="75" customFormat="false" ht="15" hidden="false" customHeight="false" outlineLevel="0" collapsed="false">
      <c r="A75" s="24" t="s">
        <v>65</v>
      </c>
      <c r="B75" s="29" t="n">
        <f aca="false">IF(B$4=0,0,B27/B$4)</f>
        <v>0.00112783697009303</v>
      </c>
      <c r="C75" s="29" t="n">
        <f aca="false">IF(C$4=0,0,C27/C$4)</f>
        <v>0.000805033232971653</v>
      </c>
      <c r="D75" s="29" t="n">
        <f aca="false">IF(D$4=0,0,D27/D$4)</f>
        <v>0.000375095877310696</v>
      </c>
      <c r="E75" s="29" t="n">
        <f aca="false">IF(E$4=0,0,E27/E$4)</f>
        <v>0</v>
      </c>
      <c r="F75" s="29" t="n">
        <f aca="false">IF(F$4=0,0,F27/F$4)</f>
        <v>7.68868368981438E-005</v>
      </c>
      <c r="G75" s="29" t="n">
        <f aca="false">IF(G$4=0,0,G27/G$4)</f>
        <v>5.17057269712808E-005</v>
      </c>
      <c r="H75" s="29" t="n">
        <f aca="false">IF(H$4=0,0,H27/H$4)</f>
        <v>0.000556299969957026</v>
      </c>
    </row>
    <row r="76" customFormat="false" ht="15" hidden="false" customHeight="false" outlineLevel="0" collapsed="false">
      <c r="A76" s="26" t="s">
        <v>66</v>
      </c>
      <c r="B76" s="30" t="n">
        <f aca="false">IF(B$4=0,0,B28/B$4)</f>
        <v>0.0195364480784249</v>
      </c>
      <c r="C76" s="30" t="n">
        <f aca="false">IF(C$4=0,0,C28/C$4)</f>
        <v>0.0160043742543885</v>
      </c>
      <c r="D76" s="30" t="n">
        <f aca="false">IF(D$4=0,0,D28/D$4)</f>
        <v>0.0178224527484362</v>
      </c>
      <c r="E76" s="30" t="n">
        <f aca="false">IF(E$4=0,0,E28/E$4)</f>
        <v>0</v>
      </c>
      <c r="F76" s="30" t="n">
        <f aca="false">IF(F$4=0,0,F28/F$4)</f>
        <v>0</v>
      </c>
      <c r="G76" s="30" t="n">
        <f aca="false">IF(G$4=0,0,G28/G$4)</f>
        <v>0</v>
      </c>
      <c r="H76" s="30" t="n">
        <f aca="false">IF(H$4=0,0,H28/H$4)</f>
        <v>0.0131890928818196</v>
      </c>
    </row>
    <row r="77" customFormat="false" ht="15" hidden="false" customHeight="false" outlineLevel="0" collapsed="false">
      <c r="A77" s="24" t="s">
        <v>67</v>
      </c>
      <c r="B77" s="29" t="n">
        <f aca="false">IF(B$4=0,0,B29/B$4)</f>
        <v>0</v>
      </c>
      <c r="C77" s="29" t="n">
        <f aca="false">IF(C$4=0,0,C29/C$4)</f>
        <v>0</v>
      </c>
      <c r="D77" s="29" t="n">
        <f aca="false">IF(D$4=0,0,D29/D$4)</f>
        <v>0</v>
      </c>
      <c r="E77" s="29" t="n">
        <f aca="false">IF(E$4=0,0,E29/E$4)</f>
        <v>0</v>
      </c>
      <c r="F77" s="29" t="n">
        <f aca="false">IF(F$4=0,0,F29/F$4)</f>
        <v>0</v>
      </c>
      <c r="G77" s="29" t="n">
        <f aca="false">IF(G$4=0,0,G29/G$4)</f>
        <v>0</v>
      </c>
      <c r="H77" s="29" t="n">
        <f aca="false">IF(H$4=0,0,H29/H$4)</f>
        <v>0</v>
      </c>
    </row>
    <row r="78" customFormat="false" ht="15" hidden="false" customHeight="false" outlineLevel="0" collapsed="false">
      <c r="A78" s="26" t="s">
        <v>68</v>
      </c>
      <c r="B78" s="30" t="n">
        <f aca="false">IF(B$4=0,0,B30/B$4)</f>
        <v>0.000498028161300566</v>
      </c>
      <c r="C78" s="30" t="n">
        <f aca="false">IF(C$4=0,0,C30/C$4)</f>
        <v>0.000518093506788616</v>
      </c>
      <c r="D78" s="30" t="n">
        <f aca="false">IF(D$4=0,0,D30/D$4)</f>
        <v>0.000304984498374117</v>
      </c>
      <c r="E78" s="30" t="n">
        <f aca="false">IF(E$4=0,0,E30/E$4)</f>
        <v>0</v>
      </c>
      <c r="F78" s="30" t="n">
        <f aca="false">IF(F$4=0,0,F30/F$4)</f>
        <v>0.000215396212192594</v>
      </c>
      <c r="G78" s="30" t="n">
        <f aca="false">IF(G$4=0,0,G30/G$4)</f>
        <v>0.000217079750463665</v>
      </c>
      <c r="H78" s="30" t="n">
        <f aca="false">IF(H$4=0,0,H30/H$4)</f>
        <v>0.000384325724116999</v>
      </c>
    </row>
    <row r="79" customFormat="false" ht="15" hidden="false" customHeight="false" outlineLevel="0" collapsed="false">
      <c r="A79" s="24" t="s">
        <v>69</v>
      </c>
      <c r="B79" s="29" t="n">
        <f aca="false">IF(B$4=0,0,B31/B$4)</f>
        <v>0.000214587867544256</v>
      </c>
      <c r="C79" s="29" t="n">
        <f aca="false">IF(C$4=0,0,C31/C$4)</f>
        <v>9.48133840822587E-005</v>
      </c>
      <c r="D79" s="29" t="n">
        <f aca="false">IF(D$4=0,0,D31/D$4)</f>
        <v>0.000177942679741037</v>
      </c>
      <c r="E79" s="29" t="n">
        <f aca="false">IF(E$4=0,0,E31/E$4)</f>
        <v>0</v>
      </c>
      <c r="F79" s="29" t="n">
        <f aca="false">IF(F$4=0,0,F31/F$4)</f>
        <v>0.000116837840384434</v>
      </c>
      <c r="G79" s="29" t="n">
        <f aca="false">IF(G$4=0,0,G31/G$4)</f>
        <v>0.000138678131849604</v>
      </c>
      <c r="H79" s="29" t="n">
        <f aca="false">IF(H$4=0,0,H31/H$4)</f>
        <v>0.000143469268859483</v>
      </c>
    </row>
    <row r="80" customFormat="false" ht="15" hidden="false" customHeight="false" outlineLevel="0" collapsed="false">
      <c r="A80" s="26" t="s">
        <v>70</v>
      </c>
      <c r="B80" s="30" t="n">
        <f aca="false">IF(B$4=0,0,B32/B$4)</f>
        <v>5.41077383807911E-005</v>
      </c>
      <c r="C80" s="30" t="n">
        <f aca="false">IF(C$4=0,0,C32/C$4)</f>
        <v>0.000152303584616259</v>
      </c>
      <c r="D80" s="30" t="n">
        <f aca="false">IF(D$4=0,0,D32/D$4)</f>
        <v>0.000124307474854554</v>
      </c>
      <c r="E80" s="30" t="n">
        <f aca="false">IF(E$4=0,0,E32/E$4)</f>
        <v>0</v>
      </c>
      <c r="F80" s="30" t="n">
        <f aca="false">IF(F$4=0,0,F32/F$4)</f>
        <v>0.000105342504475643</v>
      </c>
      <c r="G80" s="30" t="n">
        <f aca="false">IF(G$4=0,0,G32/G$4)</f>
        <v>7.03928511212275E-005</v>
      </c>
      <c r="H80" s="30" t="n">
        <f aca="false">IF(H$4=0,0,H32/H$4)</f>
        <v>0.000114193366199951</v>
      </c>
    </row>
    <row r="81" customFormat="false" ht="15" hidden="false" customHeight="false" outlineLevel="0" collapsed="false">
      <c r="A81" s="24" t="s">
        <v>71</v>
      </c>
      <c r="B81" s="29" t="n">
        <f aca="false">IF(B$4=0,0,B33/B$4)</f>
        <v>5.23963014003767E-005</v>
      </c>
      <c r="C81" s="29" t="n">
        <f aca="false">IF(C$4=0,0,C33/C$4)</f>
        <v>0</v>
      </c>
      <c r="D81" s="29" t="n">
        <f aca="false">IF(D$4=0,0,D33/D$4)</f>
        <v>6.56242506846376E-005</v>
      </c>
      <c r="E81" s="29" t="n">
        <f aca="false">IF(E$4=0,0,E33/E$4)</f>
        <v>0</v>
      </c>
      <c r="F81" s="29" t="n">
        <f aca="false">IF(F$4=0,0,F33/F$4)</f>
        <v>0</v>
      </c>
      <c r="G81" s="29" t="n">
        <f aca="false">IF(G$4=0,0,G33/G$4)</f>
        <v>4.0746360928455E-006</v>
      </c>
      <c r="H81" s="29" t="n">
        <f aca="false">IF(H$4=0,0,H33/H$4)</f>
        <v>2.62692925114824E-005</v>
      </c>
    </row>
    <row r="82" customFormat="false" ht="15" hidden="false" customHeight="false" outlineLevel="0" collapsed="false">
      <c r="A82" s="26" t="s">
        <v>72</v>
      </c>
      <c r="B82" s="30" t="n">
        <f aca="false">IF(B$4=0,0,B34/B$4)</f>
        <v>0.000302661047536347</v>
      </c>
      <c r="C82" s="30" t="n">
        <f aca="false">IF(C$4=0,0,C34/C$4)</f>
        <v>0.000280349940351077</v>
      </c>
      <c r="D82" s="30" t="n">
        <f aca="false">IF(D$4=0,0,D34/D$4)</f>
        <v>0.000506554712816781</v>
      </c>
      <c r="E82" s="30" t="n">
        <f aca="false">IF(E$4=0,0,E34/E$4)</f>
        <v>0</v>
      </c>
      <c r="F82" s="30" t="n">
        <f aca="false">IF(F$4=0,0,F34/F$4)</f>
        <v>0.000185998303966833</v>
      </c>
      <c r="G82" s="30" t="n">
        <f aca="false">IF(G$4=0,0,G34/G$4)</f>
        <v>0.000409149665598831</v>
      </c>
      <c r="H82" s="30" t="n">
        <f aca="false">IF(H$4=0,0,H34/H$4)</f>
        <v>0.000353816340371088</v>
      </c>
    </row>
    <row r="83" customFormat="false" ht="15" hidden="false" customHeight="false" outlineLevel="0" collapsed="false">
      <c r="A83" s="24" t="s">
        <v>73</v>
      </c>
      <c r="B83" s="29" t="n">
        <f aca="false">IF(B$4=0,0,B35/B$4)</f>
        <v>0.000365589268816196</v>
      </c>
      <c r="C83" s="29" t="n">
        <f aca="false">IF(C$4=0,0,C35/C$4)</f>
        <v>0.000321933761290689</v>
      </c>
      <c r="D83" s="29" t="n">
        <f aca="false">IF(D$4=0,0,D35/D$4)</f>
        <v>0.000393114501697397</v>
      </c>
      <c r="E83" s="29" t="n">
        <f aca="false">IF(E$4=0,0,E35/E$4)</f>
        <v>0</v>
      </c>
      <c r="F83" s="29" t="n">
        <f aca="false">IF(F$4=0,0,F35/F$4)</f>
        <v>9.59200979930274E-005</v>
      </c>
      <c r="G83" s="29" t="n">
        <f aca="false">IF(G$4=0,0,G35/G$4)</f>
        <v>0.000538694992412747</v>
      </c>
      <c r="H83" s="29" t="n">
        <f aca="false">IF(H$4=0,0,H35/H$4)</f>
        <v>0.000354510173482177</v>
      </c>
    </row>
    <row r="84" customFormat="false" ht="15" hidden="false" customHeight="false" outlineLevel="0" collapsed="false">
      <c r="A84" s="26" t="s">
        <v>74</v>
      </c>
      <c r="B84" s="30" t="n">
        <f aca="false">IF(B$4=0,0,B36/B$4)</f>
        <v>0</v>
      </c>
      <c r="C84" s="30" t="n">
        <f aca="false">IF(C$4=0,0,C36/C$4)</f>
        <v>0.00123353973754474</v>
      </c>
      <c r="D84" s="30" t="n">
        <f aca="false">IF(D$4=0,0,D36/D$4)</f>
        <v>0.00117618849304004</v>
      </c>
      <c r="E84" s="30" t="n">
        <f aca="false">IF(E$4=0,0,E36/E$4)</f>
        <v>0</v>
      </c>
      <c r="F84" s="30" t="n">
        <f aca="false">IF(F$4=0,0,F36/F$4)</f>
        <v>0.000246301705455573</v>
      </c>
      <c r="G84" s="30" t="n">
        <f aca="false">IF(G$4=0,0,G36/G$4)</f>
        <v>0.00111335918619682</v>
      </c>
      <c r="H84" s="30" t="n">
        <f aca="false">IF(H$4=0,0,H36/H$4)</f>
        <v>0.000919733608173477</v>
      </c>
    </row>
    <row r="85" customFormat="false" ht="15" hidden="false" customHeight="false" outlineLevel="0" collapsed="false">
      <c r="A85" s="24" t="s">
        <v>75</v>
      </c>
      <c r="B85" s="29" t="n">
        <f aca="false">IF(B$4=0,0,B37/B$4)</f>
        <v>4.97633214305086E-005</v>
      </c>
      <c r="C85" s="29" t="n">
        <f aca="false">IF(C$4=0,0,C37/C$4)</f>
        <v>5.17525421803102E-005</v>
      </c>
      <c r="D85" s="29" t="n">
        <f aca="false">IF(D$4=0,0,D37/D$4)</f>
        <v>3.04984498374117E-005</v>
      </c>
      <c r="E85" s="29" t="n">
        <f aca="false">IF(E$4=0,0,E37/E$4)</f>
        <v>0</v>
      </c>
      <c r="F85" s="29" t="n">
        <f aca="false">IF(F$4=0,0,F37/F$4)</f>
        <v>2.14830867803637E-005</v>
      </c>
      <c r="G85" s="29" t="n">
        <f aca="false">IF(G$4=0,0,G37/G$4)</f>
        <v>2.16377226999382E-005</v>
      </c>
      <c r="H85" s="29" t="n">
        <f aca="false">IF(H$4=0,0,H37/H$4)</f>
        <v>3.83920988135531E-005</v>
      </c>
    </row>
    <row r="86" customFormat="false" ht="15" hidden="false" customHeight="false" outlineLevel="0" collapsed="false">
      <c r="A86" s="26" t="s">
        <v>76</v>
      </c>
      <c r="B86" s="30" t="n">
        <f aca="false">IF(B$4=0,0,B38/B$4)</f>
        <v>0.0040087120041243</v>
      </c>
      <c r="C86" s="30" t="n">
        <f aca="false">IF(C$4=0,0,C38/C$4)</f>
        <v>0.00126966994262342</v>
      </c>
      <c r="D86" s="30" t="n">
        <f aca="false">IF(D$4=0,0,D38/D$4)</f>
        <v>0.000944820942549334</v>
      </c>
      <c r="E86" s="30" t="n">
        <f aca="false">IF(E$4=0,0,E38/E$4)</f>
        <v>0</v>
      </c>
      <c r="F86" s="30" t="n">
        <f aca="false">IF(F$4=0,0,F38/F$4)</f>
        <v>0.00059059643833035</v>
      </c>
      <c r="G86" s="30" t="n">
        <f aca="false">IF(G$4=0,0,G38/G$4)</f>
        <v>0.00099041757994717</v>
      </c>
      <c r="H86" s="30" t="n">
        <f aca="false">IF(H$4=0,0,H38/H$4)</f>
        <v>0.00147360516224169</v>
      </c>
    </row>
    <row r="87" customFormat="false" ht="15" hidden="false" customHeight="false" outlineLevel="0" collapsed="false">
      <c r="A87" s="17" t="s">
        <v>16</v>
      </c>
      <c r="B87" s="19" t="n">
        <f aca="false">IF(B$4=0,0,B39/B$4)</f>
        <v>-1.26774207222896</v>
      </c>
      <c r="C87" s="19" t="n">
        <f aca="false">IF(C$4=0,0,C39/C$4)</f>
        <v>0.2912274612282</v>
      </c>
      <c r="D87" s="19" t="n">
        <f aca="false">IF(D$4=0,0,D39/D$4)</f>
        <v>-0.216844679457787</v>
      </c>
      <c r="E87" s="19" t="n">
        <f aca="false">IF(E$4=0,0,E39/E$4)</f>
        <v>0</v>
      </c>
      <c r="F87" s="19" t="n">
        <f aca="false">IF(F$4=0,0,F39/F$4)</f>
        <v>-0.297415433901819</v>
      </c>
      <c r="G87" s="19" t="n">
        <f aca="false">IF(G$4=0,0,G39/G$4)</f>
        <v>0.0755645478558984</v>
      </c>
      <c r="H87" s="19" t="n">
        <f aca="false">IF(H$4=0,0,H39/H$4)</f>
        <v>-0.166452933946548</v>
      </c>
    </row>
    <row r="88" customFormat="false" ht="15" hidden="false" customHeight="false" outlineLevel="0" collapsed="false">
      <c r="A88" s="17" t="s">
        <v>17</v>
      </c>
      <c r="B88" s="19" t="n">
        <f aca="false">IF(B$4=0,0,B40/B$4)</f>
        <v>-0.000485521506443692</v>
      </c>
      <c r="C88" s="19" t="n">
        <f aca="false">IF(C$4=0,0,C40/C$4)</f>
        <v>0.00475958643413055</v>
      </c>
      <c r="D88" s="19" t="n">
        <f aca="false">IF(D$4=0,0,D40/D$4)</f>
        <v>0.00229250186846825</v>
      </c>
      <c r="E88" s="19" t="n">
        <f aca="false">IF(E$4=0,0,E40/E$4)</f>
        <v>0</v>
      </c>
      <c r="F88" s="19" t="n">
        <f aca="false">IF(F$4=0,0,F40/F$4)</f>
        <v>-0.00344181663996985</v>
      </c>
      <c r="G88" s="19" t="n">
        <f aca="false">IF(G$4=0,0,G40/G$4)</f>
        <v>-0.0101934749620637</v>
      </c>
      <c r="H88" s="19" t="n">
        <f aca="false">IF(H$4=0,0,H40/H$4)</f>
        <v>0.000423623660603362</v>
      </c>
    </row>
    <row r="89" customFormat="false" ht="15" hidden="false" customHeight="false" outlineLevel="0" collapsed="false">
      <c r="A89" s="24" t="s">
        <v>77</v>
      </c>
      <c r="B89" s="29" t="n">
        <f aca="false">IF(B$4=0,0,B41/B$4)</f>
        <v>0</v>
      </c>
      <c r="C89" s="29" t="n">
        <f aca="false">IF(C$4=0,0,C41/C$4)</f>
        <v>0.00904073169346134</v>
      </c>
      <c r="D89" s="29" t="n">
        <f aca="false">IF(D$4=0,0,D41/D$4)</f>
        <v>0.00453606599443877</v>
      </c>
      <c r="E89" s="29" t="n">
        <f aca="false">IF(E$4=0,0,E41/E$4)</f>
        <v>0</v>
      </c>
      <c r="F89" s="29" t="n">
        <f aca="false">IF(F$4=0,0,F41/F$4)</f>
        <v>0.00234278714783756</v>
      </c>
      <c r="G89" s="29" t="n">
        <f aca="false">IF(G$4=0,0,G41/G$4)</f>
        <v>0.000317119091777665</v>
      </c>
      <c r="H89" s="29" t="n">
        <f aca="false">IF(H$4=0,0,H41/H$4)</f>
        <v>0.00459724182836126</v>
      </c>
    </row>
    <row r="90" customFormat="false" ht="15" hidden="false" customHeight="false" outlineLevel="0" collapsed="false">
      <c r="A90" s="26" t="s">
        <v>78</v>
      </c>
      <c r="B90" s="30" t="n">
        <f aca="false">IF(B$4=0,0,B42/B$4)</f>
        <v>0.000344262131060264</v>
      </c>
      <c r="C90" s="30" t="n">
        <f aca="false">IF(C$4=0,0,C42/C$4)</f>
        <v>0.000748054308924615</v>
      </c>
      <c r="D90" s="30" t="n">
        <f aca="false">IF(D$4=0,0,D42/D$4)</f>
        <v>0.000160414835006892</v>
      </c>
      <c r="E90" s="30" t="n">
        <f aca="false">IF(E$4=0,0,E42/E$4)</f>
        <v>0</v>
      </c>
      <c r="F90" s="30" t="n">
        <f aca="false">IF(F$4=0,0,F42/F$4)</f>
        <v>3.33553189484594E-005</v>
      </c>
      <c r="G90" s="30" t="n">
        <f aca="false">IF(G$4=0,0,G42/G$4)</f>
        <v>5.52183442926994E-005</v>
      </c>
      <c r="H90" s="30" t="n">
        <f aca="false">IF(H$4=0,0,H42/H$4)</f>
        <v>0.000359270639549921</v>
      </c>
    </row>
    <row r="91" customFormat="false" ht="15" hidden="false" customHeight="false" outlineLevel="0" collapsed="false">
      <c r="A91" s="24" t="s">
        <v>79</v>
      </c>
      <c r="B91" s="29" t="n">
        <f aca="false">IF(B$4=0,0,B43/B$4)</f>
        <v>1.18484098644068E-006</v>
      </c>
      <c r="C91" s="29" t="n">
        <f aca="false">IF(C$4=0,0,C43/C$4)</f>
        <v>1.21002101914446E-005</v>
      </c>
      <c r="D91" s="29" t="n">
        <f aca="false">IF(D$4=0,0,D43/D$4)</f>
        <v>3.85612584151183E-006</v>
      </c>
      <c r="E91" s="29" t="n">
        <f aca="false">IF(E$4=0,0,E43/E$4)</f>
        <v>0</v>
      </c>
      <c r="F91" s="29" t="n">
        <f aca="false">IF(F$4=0,0,F43/F$4)</f>
        <v>5.3519268821257E-005</v>
      </c>
      <c r="G91" s="29" t="n">
        <f aca="false">IF(G$4=0,0,G43/G$4)</f>
        <v>2.81009385713483E-007</v>
      </c>
      <c r="H91" s="29" t="n">
        <f aca="false">IF(H$4=0,0,H43/H$4)</f>
        <v>1.08507789317422E-005</v>
      </c>
    </row>
    <row r="92" customFormat="false" ht="15" hidden="false" customHeight="false" outlineLevel="0" collapsed="false">
      <c r="A92" s="26" t="s">
        <v>80</v>
      </c>
      <c r="B92" s="30" t="n">
        <f aca="false">IF(B$4=0,0,B44/B$4)</f>
        <v>0</v>
      </c>
      <c r="C92" s="30" t="n">
        <f aca="false">IF(C$4=0,0,C44/C$4)</f>
        <v>0</v>
      </c>
      <c r="D92" s="30" t="n">
        <f aca="false">IF(D$4=0,0,D44/D$4)</f>
        <v>0</v>
      </c>
      <c r="E92" s="30" t="n">
        <f aca="false">IF(E$4=0,0,E44/E$4)</f>
        <v>0</v>
      </c>
      <c r="F92" s="30" t="n">
        <f aca="false">IF(F$4=0,0,F44/F$4)</f>
        <v>0</v>
      </c>
      <c r="G92" s="30" t="n">
        <f aca="false">IF(G$4=0,0,G44/G$4)</f>
        <v>0</v>
      </c>
      <c r="H92" s="30" t="n">
        <f aca="false">IF(H$4=0,0,H44/H$4)</f>
        <v>0</v>
      </c>
    </row>
    <row r="93" customFormat="false" ht="15" hidden="false" customHeight="false" outlineLevel="0" collapsed="false">
      <c r="A93" s="24" t="s">
        <v>81</v>
      </c>
      <c r="B93" s="29" t="n">
        <f aca="false">IF(B$4=0,0,B45/B$4)</f>
        <v>0.000830968478490397</v>
      </c>
      <c r="C93" s="29" t="n">
        <f aca="false">IF(C$4=0,0,C45/C$4)</f>
        <v>0.00504129977844686</v>
      </c>
      <c r="D93" s="29" t="n">
        <f aca="false">IF(D$4=0,0,D45/D$4)</f>
        <v>0.00240783508681892</v>
      </c>
      <c r="E93" s="29" t="n">
        <f aca="false">IF(E$4=0,0,E45/E$4)</f>
        <v>0</v>
      </c>
      <c r="F93" s="29" t="n">
        <f aca="false">IF(F$4=0,0,F45/F$4)</f>
        <v>0.00587147837557712</v>
      </c>
      <c r="G93" s="29" t="n">
        <f aca="false">IF(G$4=0,0,G45/G$4)</f>
        <v>0.0105660934075198</v>
      </c>
      <c r="H93" s="29" t="n">
        <f aca="false">IF(H$4=0,0,H45/H$4)</f>
        <v>0.00454373958623956</v>
      </c>
    </row>
    <row r="94" customFormat="false" ht="15" hidden="false" customHeight="false" outlineLevel="0" collapsed="false">
      <c r="A94" s="17" t="s">
        <v>82</v>
      </c>
      <c r="B94" s="19" t="n">
        <f aca="false">IF(B$4=0,0,B46/B$4)</f>
        <v>-1.26822746208641</v>
      </c>
      <c r="C94" s="19" t="n">
        <f aca="false">IF(C$4=0,0,C46/C$4)</f>
        <v>0.29598704766233</v>
      </c>
      <c r="D94" s="19" t="n">
        <f aca="false">IF(D$4=0,0,D46/D$4)</f>
        <v>-0.214552177589318</v>
      </c>
      <c r="E94" s="19" t="n">
        <f aca="false">IF(E$4=0,0,E46/E$4)</f>
        <v>0</v>
      </c>
      <c r="F94" s="19" t="n">
        <f aca="false">IF(F$4=0,0,F46/F$4)</f>
        <v>-0.300857438989918</v>
      </c>
      <c r="G94" s="19" t="n">
        <f aca="false">IF(G$4=0,0,G46/G$4)</f>
        <v>0.0653709323891418</v>
      </c>
      <c r="H94" s="19" t="n">
        <f aca="false">IF(H$4=0,0,H46/H$4)</f>
        <v>-0.166029329559087</v>
      </c>
    </row>
    <row r="95" customFormat="false" ht="15" hidden="false" customHeight="false" outlineLevel="0" collapsed="false">
      <c r="A95" s="24" t="s">
        <v>83</v>
      </c>
      <c r="B95" s="29" t="n">
        <f aca="false">IF(B$4=0,0,B47/B$4)</f>
        <v>0</v>
      </c>
      <c r="C95" s="29" t="n">
        <f aca="false">IF(C$4=0,0,C47/C$4)</f>
        <v>0</v>
      </c>
      <c r="D95" s="29" t="n">
        <f aca="false">IF(D$4=0,0,D47/D$4)</f>
        <v>0</v>
      </c>
      <c r="E95" s="29" t="n">
        <f aca="false">IF(E$4=0,0,E47/E$4)</f>
        <v>0</v>
      </c>
      <c r="F95" s="29" t="n">
        <f aca="false">IF(F$4=0,0,F47/F$4)</f>
        <v>0</v>
      </c>
      <c r="G95" s="29" t="n">
        <f aca="false">IF(G$4=0,0,G47/G$4)</f>
        <v>0</v>
      </c>
      <c r="H95" s="29" t="n">
        <f aca="false">IF(H$4=0,0,H47/H$4)</f>
        <v>0</v>
      </c>
    </row>
    <row r="96" customFormat="false" ht="15" hidden="false" customHeight="false" outlineLevel="0" collapsed="false">
      <c r="A96" s="17" t="s">
        <v>18</v>
      </c>
      <c r="B96" s="19" t="n">
        <f aca="false">IF(B$4=0,0,B48/B$4)</f>
        <v>-1.26822746208641</v>
      </c>
      <c r="C96" s="19" t="n">
        <f aca="false">IF(C$4=0,0,C48/C$4)</f>
        <v>0.29598704766233</v>
      </c>
      <c r="D96" s="19" t="n">
        <f aca="false">IF(D$4=0,0,D48/D$4)</f>
        <v>-0.214552177589318</v>
      </c>
      <c r="E96" s="19" t="n">
        <f aca="false">IF(E$4=0,0,E48/E$4)</f>
        <v>0</v>
      </c>
      <c r="F96" s="19" t="n">
        <f aca="false">IF(F$4=0,0,F48/F$4)</f>
        <v>-0.300857438989918</v>
      </c>
      <c r="G96" s="19" t="n">
        <f aca="false">IF(G$4=0,0,G48/G$4)</f>
        <v>0.0653709323891418</v>
      </c>
      <c r="H96" s="19" t="n">
        <f aca="false">IF(H$4=0,0,H48/H$4)</f>
        <v>-0.166029329559087</v>
      </c>
    </row>
  </sheetData>
  <mergeCells count="3">
    <mergeCell ref="A1:H1"/>
    <mergeCell ref="A2:H2"/>
    <mergeCell ref="A50:H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8" min="2" style="0" width="16"/>
  </cols>
  <sheetData>
    <row r="1" customFormat="false" ht="24" hidden="false" customHeight="true" outlineLevel="0" collapsed="false">
      <c r="A1" s="21" t="s">
        <v>89</v>
      </c>
      <c r="B1" s="21"/>
      <c r="C1" s="21"/>
      <c r="D1" s="21"/>
      <c r="E1" s="21"/>
      <c r="F1" s="21"/>
      <c r="G1" s="21"/>
      <c r="H1" s="21"/>
    </row>
    <row r="2" customFormat="false" ht="13.5" hidden="false" customHeight="true" outlineLevel="0" collapsed="false">
      <c r="A2" s="2" t="s">
        <v>39</v>
      </c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22" t="s">
        <v>3</v>
      </c>
      <c r="B3" s="23" t="s">
        <v>4</v>
      </c>
      <c r="C3" s="23" t="s">
        <v>5</v>
      </c>
      <c r="D3" s="23" t="s">
        <v>6</v>
      </c>
      <c r="E3" s="23" t="s">
        <v>7</v>
      </c>
      <c r="F3" s="23" t="s">
        <v>8</v>
      </c>
      <c r="G3" s="23" t="s">
        <v>9</v>
      </c>
      <c r="H3" s="23" t="s">
        <v>10</v>
      </c>
    </row>
    <row r="4" customFormat="false" ht="15" hidden="false" customHeight="false" outlineLevel="0" collapsed="false">
      <c r="A4" s="17" t="s">
        <v>12</v>
      </c>
      <c r="B4" s="18" t="n">
        <v>77495</v>
      </c>
      <c r="C4" s="18" t="n">
        <v>60345</v>
      </c>
      <c r="D4" s="18" t="n">
        <v>75875</v>
      </c>
      <c r="E4" s="18" t="n">
        <v>45685</v>
      </c>
      <c r="F4" s="18" t="n">
        <v>164735</v>
      </c>
      <c r="G4" s="18" t="n">
        <v>140</v>
      </c>
      <c r="H4" s="18" t="n">
        <f aca="false">SUM(B4:G4)</f>
        <v>424275</v>
      </c>
    </row>
    <row r="5" customFormat="false" ht="15" hidden="false" customHeight="false" outlineLevel="0" collapsed="false">
      <c r="A5" s="24" t="s">
        <v>32</v>
      </c>
      <c r="B5" s="25" t="n">
        <v>77495</v>
      </c>
      <c r="C5" s="25" t="n">
        <v>60345</v>
      </c>
      <c r="D5" s="25" t="n">
        <v>75875</v>
      </c>
      <c r="E5" s="25" t="n">
        <v>45685</v>
      </c>
      <c r="F5" s="25" t="n">
        <v>164735</v>
      </c>
      <c r="G5" s="25" t="n">
        <v>140</v>
      </c>
      <c r="H5" s="25" t="n">
        <f aca="false">SUM(B5:G5)</f>
        <v>424275</v>
      </c>
    </row>
    <row r="6" customFormat="false" ht="15" hidden="false" customHeight="false" outlineLevel="0" collapsed="false">
      <c r="A6" s="26" t="s">
        <v>40</v>
      </c>
      <c r="B6" s="27" t="n">
        <v>0</v>
      </c>
      <c r="C6" s="27" t="n">
        <v>0</v>
      </c>
      <c r="D6" s="27" t="n">
        <v>0</v>
      </c>
      <c r="E6" s="27" t="n">
        <v>0</v>
      </c>
      <c r="F6" s="27" t="n">
        <v>0</v>
      </c>
      <c r="G6" s="27" t="n">
        <v>0</v>
      </c>
      <c r="H6" s="27" t="n">
        <f aca="false">SUM(B6:G6)</f>
        <v>0</v>
      </c>
    </row>
    <row r="7" customFormat="false" ht="15" hidden="false" customHeight="false" outlineLevel="0" collapsed="false">
      <c r="A7" s="17" t="s">
        <v>13</v>
      </c>
      <c r="B7" s="18" t="n">
        <v>62511.4</v>
      </c>
      <c r="C7" s="18" t="n">
        <v>49291.38</v>
      </c>
      <c r="D7" s="18" t="n">
        <v>62924.5</v>
      </c>
      <c r="E7" s="18" t="n">
        <v>34987.65</v>
      </c>
      <c r="F7" s="18" t="n">
        <v>153189.58</v>
      </c>
      <c r="G7" s="18" t="n">
        <v>74.61</v>
      </c>
      <c r="H7" s="18" t="n">
        <f aca="false">SUM(B7:G7)</f>
        <v>362979.12</v>
      </c>
    </row>
    <row r="8" customFormat="false" ht="15" hidden="false" customHeight="false" outlineLevel="0" collapsed="false">
      <c r="A8" s="26" t="s">
        <v>44</v>
      </c>
      <c r="B8" s="27" t="n">
        <v>62511.4</v>
      </c>
      <c r="C8" s="27" t="n">
        <v>49291.38</v>
      </c>
      <c r="D8" s="27" t="n">
        <v>62924.5</v>
      </c>
      <c r="E8" s="27" t="n">
        <v>34987.65</v>
      </c>
      <c r="F8" s="27" t="n">
        <v>153189.58</v>
      </c>
      <c r="G8" s="27" t="n">
        <v>74.61</v>
      </c>
      <c r="H8" s="27" t="n">
        <f aca="false">SUM(B8:G8)</f>
        <v>362979.12</v>
      </c>
    </row>
    <row r="9" customFormat="false" ht="15" hidden="false" customHeight="false" outlineLevel="0" collapsed="false">
      <c r="A9" s="24" t="s">
        <v>49</v>
      </c>
      <c r="B9" s="25" t="n">
        <v>0</v>
      </c>
      <c r="C9" s="25" t="n">
        <v>0</v>
      </c>
      <c r="D9" s="25" t="n">
        <v>0</v>
      </c>
      <c r="E9" s="25" t="n">
        <v>0</v>
      </c>
      <c r="F9" s="25" t="n">
        <v>0</v>
      </c>
      <c r="G9" s="25" t="n">
        <v>0</v>
      </c>
      <c r="H9" s="25" t="n">
        <f aca="false">SUM(B9:G9)</f>
        <v>0</v>
      </c>
    </row>
    <row r="10" customFormat="false" ht="15" hidden="false" customHeight="false" outlineLevel="0" collapsed="false">
      <c r="A10" s="26" t="s">
        <v>50</v>
      </c>
      <c r="B10" s="27" t="n">
        <v>0</v>
      </c>
      <c r="C10" s="27" t="n">
        <v>0</v>
      </c>
      <c r="D10" s="27" t="n">
        <v>0</v>
      </c>
      <c r="E10" s="27" t="n">
        <v>0</v>
      </c>
      <c r="F10" s="27" t="n">
        <v>0</v>
      </c>
      <c r="G10" s="27" t="n">
        <v>0</v>
      </c>
      <c r="H10" s="27" t="n">
        <f aca="false">SUM(B10:G10)</f>
        <v>0</v>
      </c>
    </row>
    <row r="11" customFormat="false" ht="15" hidden="false" customHeight="false" outlineLevel="0" collapsed="false">
      <c r="A11" s="17" t="s">
        <v>14</v>
      </c>
      <c r="B11" s="18" t="n">
        <v>14983.6</v>
      </c>
      <c r="C11" s="18" t="n">
        <v>11053.62</v>
      </c>
      <c r="D11" s="18" t="n">
        <v>12950.5</v>
      </c>
      <c r="E11" s="18" t="n">
        <v>10697.35</v>
      </c>
      <c r="F11" s="18" t="n">
        <v>11545.42</v>
      </c>
      <c r="G11" s="18" t="n">
        <v>65.39</v>
      </c>
      <c r="H11" s="18" t="n">
        <f aca="false">SUM(B11:G11)</f>
        <v>61295.88</v>
      </c>
    </row>
    <row r="12" customFormat="false" ht="15" hidden="false" customHeight="false" outlineLevel="0" collapsed="false">
      <c r="A12" s="17" t="s">
        <v>15</v>
      </c>
      <c r="B12" s="18" t="n">
        <v>5308.9</v>
      </c>
      <c r="C12" s="18" t="n">
        <v>4630.67</v>
      </c>
      <c r="D12" s="18" t="n">
        <v>4404.79</v>
      </c>
      <c r="E12" s="18" t="n">
        <v>3322.53</v>
      </c>
      <c r="F12" s="18" t="n">
        <v>6444.7</v>
      </c>
      <c r="G12" s="18" t="n">
        <v>6.48</v>
      </c>
      <c r="H12" s="18" t="n">
        <f aca="false">SUM(B12:G12)</f>
        <v>24118.07</v>
      </c>
    </row>
    <row r="13" customFormat="false" ht="15" hidden="false" customHeight="false" outlineLevel="0" collapsed="false">
      <c r="A13" s="24" t="s">
        <v>51</v>
      </c>
      <c r="B13" s="25" t="n">
        <v>760.5</v>
      </c>
      <c r="C13" s="25" t="n">
        <v>1516.06</v>
      </c>
      <c r="D13" s="25" t="n">
        <v>1361.23</v>
      </c>
      <c r="E13" s="25" t="n">
        <v>1137.34</v>
      </c>
      <c r="F13" s="25" t="n">
        <v>2900.06</v>
      </c>
      <c r="G13" s="25" t="n">
        <v>2.61</v>
      </c>
      <c r="H13" s="25" t="n">
        <f aca="false">SUM(B13:G13)</f>
        <v>7677.8</v>
      </c>
    </row>
    <row r="14" customFormat="false" ht="15" hidden="false" customHeight="false" outlineLevel="0" collapsed="false">
      <c r="A14" s="26" t="s">
        <v>52</v>
      </c>
      <c r="B14" s="27" t="n">
        <v>705.77</v>
      </c>
      <c r="C14" s="27" t="n">
        <v>0</v>
      </c>
      <c r="D14" s="27" t="n">
        <v>0</v>
      </c>
      <c r="E14" s="27" t="n">
        <v>0</v>
      </c>
      <c r="F14" s="27" t="n">
        <v>0</v>
      </c>
      <c r="G14" s="27" t="n">
        <v>0</v>
      </c>
      <c r="H14" s="27" t="n">
        <f aca="false">SUM(B14:G14)</f>
        <v>705.77</v>
      </c>
    </row>
    <row r="15" customFormat="false" ht="15" hidden="false" customHeight="false" outlineLevel="0" collapsed="false">
      <c r="A15" s="24" t="s">
        <v>53</v>
      </c>
      <c r="B15" s="25" t="n">
        <v>44.31</v>
      </c>
      <c r="C15" s="25" t="n">
        <v>35.22</v>
      </c>
      <c r="D15" s="25" t="n">
        <v>24.41</v>
      </c>
      <c r="E15" s="25" t="n">
        <v>21.92</v>
      </c>
      <c r="F15" s="25" t="n">
        <v>79.77</v>
      </c>
      <c r="G15" s="25" t="n">
        <v>0.07</v>
      </c>
      <c r="H15" s="25" t="n">
        <f aca="false">SUM(B15:G15)</f>
        <v>205.7</v>
      </c>
    </row>
    <row r="16" customFormat="false" ht="15" hidden="false" customHeight="false" outlineLevel="0" collapsed="false">
      <c r="A16" s="26" t="s">
        <v>54</v>
      </c>
      <c r="B16" s="27" t="n">
        <v>52.81</v>
      </c>
      <c r="C16" s="27" t="n">
        <v>116.3</v>
      </c>
      <c r="D16" s="27" t="n">
        <v>105.21</v>
      </c>
      <c r="E16" s="27" t="n">
        <v>85.39</v>
      </c>
      <c r="F16" s="27" t="n">
        <v>222.97</v>
      </c>
      <c r="G16" s="27" t="n">
        <v>0.2</v>
      </c>
      <c r="H16" s="27" t="n">
        <f aca="false">SUM(B16:G16)</f>
        <v>582.88</v>
      </c>
    </row>
    <row r="17" customFormat="false" ht="15" hidden="false" customHeight="false" outlineLevel="0" collapsed="false">
      <c r="A17" s="24" t="s">
        <v>55</v>
      </c>
      <c r="B17" s="25" t="n">
        <v>241.29</v>
      </c>
      <c r="C17" s="25" t="n">
        <v>480.56</v>
      </c>
      <c r="D17" s="25" t="n">
        <v>305.03</v>
      </c>
      <c r="E17" s="25" t="n">
        <v>315.72</v>
      </c>
      <c r="F17" s="25" t="n">
        <v>694.61</v>
      </c>
      <c r="G17" s="25" t="n">
        <v>0.92</v>
      </c>
      <c r="H17" s="25" t="n">
        <f aca="false">SUM(B17:G17)</f>
        <v>2038.13</v>
      </c>
    </row>
    <row r="18" customFormat="false" ht="15" hidden="false" customHeight="false" outlineLevel="0" collapsed="false">
      <c r="A18" s="26" t="s">
        <v>56</v>
      </c>
      <c r="B18" s="27" t="n">
        <v>14.7</v>
      </c>
      <c r="C18" s="27" t="n">
        <v>0</v>
      </c>
      <c r="D18" s="27" t="n">
        <v>4.36</v>
      </c>
      <c r="E18" s="27" t="n">
        <v>29.3</v>
      </c>
      <c r="F18" s="27" t="n">
        <v>59.93</v>
      </c>
      <c r="G18" s="27" t="n">
        <v>0.03</v>
      </c>
      <c r="H18" s="27" t="n">
        <f aca="false">SUM(B18:G18)</f>
        <v>108.32</v>
      </c>
    </row>
    <row r="19" customFormat="false" ht="15" hidden="false" customHeight="false" outlineLevel="0" collapsed="false">
      <c r="A19" s="24" t="s">
        <v>57</v>
      </c>
      <c r="B19" s="25" t="n">
        <v>1.07</v>
      </c>
      <c r="C19" s="25" t="n">
        <v>0</v>
      </c>
      <c r="D19" s="25" t="n">
        <v>4.58</v>
      </c>
      <c r="E19" s="25" t="n">
        <v>2.59</v>
      </c>
      <c r="F19" s="25" t="n">
        <v>11.65</v>
      </c>
      <c r="G19" s="25" t="n">
        <v>0.03</v>
      </c>
      <c r="H19" s="25" t="n">
        <f aca="false">SUM(B19:G19)</f>
        <v>19.92</v>
      </c>
    </row>
    <row r="20" customFormat="false" ht="15" hidden="false" customHeight="false" outlineLevel="0" collapsed="false">
      <c r="A20" s="26" t="s">
        <v>58</v>
      </c>
      <c r="B20" s="27" t="n">
        <v>30.86</v>
      </c>
      <c r="C20" s="27" t="n">
        <v>26.2</v>
      </c>
      <c r="D20" s="27" t="n">
        <v>15.22</v>
      </c>
      <c r="E20" s="27" t="n">
        <v>24.31</v>
      </c>
      <c r="F20" s="27" t="n">
        <v>40.95</v>
      </c>
      <c r="G20" s="27" t="n">
        <v>0.01</v>
      </c>
      <c r="H20" s="27" t="n">
        <f aca="false">SUM(B20:G20)</f>
        <v>137.55</v>
      </c>
    </row>
    <row r="21" customFormat="false" ht="15" hidden="false" customHeight="false" outlineLevel="0" collapsed="false">
      <c r="A21" s="24" t="s">
        <v>59</v>
      </c>
      <c r="B21" s="25" t="n">
        <v>4.13</v>
      </c>
      <c r="C21" s="25" t="n">
        <v>3.57</v>
      </c>
      <c r="D21" s="25" t="n">
        <v>1.54</v>
      </c>
      <c r="E21" s="25" t="n">
        <v>1.59</v>
      </c>
      <c r="F21" s="25" t="n">
        <v>9.99</v>
      </c>
      <c r="G21" s="25" t="n">
        <v>0.03</v>
      </c>
      <c r="H21" s="25" t="n">
        <f aca="false">SUM(B21:G21)</f>
        <v>20.85</v>
      </c>
    </row>
    <row r="22" customFormat="false" ht="15" hidden="false" customHeight="false" outlineLevel="0" collapsed="false">
      <c r="A22" s="26" t="s">
        <v>60</v>
      </c>
      <c r="B22" s="27" t="n">
        <v>673.94</v>
      </c>
      <c r="C22" s="27" t="n">
        <v>545.92</v>
      </c>
      <c r="D22" s="27" t="n">
        <v>404.04</v>
      </c>
      <c r="E22" s="27" t="n">
        <v>334.22</v>
      </c>
      <c r="F22" s="27" t="n">
        <v>704.28</v>
      </c>
      <c r="G22" s="27" t="n">
        <v>0.7</v>
      </c>
      <c r="H22" s="27" t="n">
        <f aca="false">SUM(B22:G22)</f>
        <v>2663.1</v>
      </c>
    </row>
    <row r="23" customFormat="false" ht="15" hidden="false" customHeight="false" outlineLevel="0" collapsed="false">
      <c r="A23" s="24" t="s">
        <v>61</v>
      </c>
      <c r="B23" s="25" t="n">
        <v>462.54</v>
      </c>
      <c r="C23" s="25" t="n">
        <v>407.58</v>
      </c>
      <c r="D23" s="25" t="n">
        <v>266.65</v>
      </c>
      <c r="E23" s="25" t="n">
        <v>393.81</v>
      </c>
      <c r="F23" s="25" t="n">
        <v>597.07</v>
      </c>
      <c r="G23" s="25" t="n">
        <v>0.61</v>
      </c>
      <c r="H23" s="25" t="n">
        <f aca="false">SUM(B23:G23)</f>
        <v>2128.26</v>
      </c>
    </row>
    <row r="24" customFormat="false" ht="15" hidden="false" customHeight="false" outlineLevel="0" collapsed="false">
      <c r="A24" s="26" t="s">
        <v>62</v>
      </c>
      <c r="B24" s="27" t="n">
        <v>170.36</v>
      </c>
      <c r="C24" s="27" t="n">
        <v>156.9</v>
      </c>
      <c r="D24" s="27" t="n">
        <v>139.24</v>
      </c>
      <c r="E24" s="27" t="n">
        <v>215.96</v>
      </c>
      <c r="F24" s="27" t="n">
        <v>753.52</v>
      </c>
      <c r="G24" s="27" t="n">
        <v>0.56</v>
      </c>
      <c r="H24" s="27" t="n">
        <f aca="false">SUM(B24:G24)</f>
        <v>1436.54</v>
      </c>
    </row>
    <row r="25" customFormat="false" ht="15" hidden="false" customHeight="false" outlineLevel="0" collapsed="false">
      <c r="A25" s="24" t="s">
        <v>63</v>
      </c>
      <c r="B25" s="25" t="n">
        <v>42.64</v>
      </c>
      <c r="C25" s="25" t="n">
        <v>33.42</v>
      </c>
      <c r="D25" s="25" t="n">
        <v>23.74</v>
      </c>
      <c r="E25" s="25" t="n">
        <v>15.4</v>
      </c>
      <c r="F25" s="25" t="n">
        <v>31.77</v>
      </c>
      <c r="G25" s="25" t="n">
        <v>0.04</v>
      </c>
      <c r="H25" s="25" t="n">
        <f aca="false">SUM(B25:G25)</f>
        <v>147.01</v>
      </c>
    </row>
    <row r="26" customFormat="false" ht="15" hidden="false" customHeight="false" outlineLevel="0" collapsed="false">
      <c r="A26" s="26" t="s">
        <v>64</v>
      </c>
      <c r="B26" s="27" t="n">
        <v>33.68</v>
      </c>
      <c r="C26" s="27" t="n">
        <v>24.67</v>
      </c>
      <c r="D26" s="27" t="n">
        <v>20.24</v>
      </c>
      <c r="E26" s="27" t="n">
        <v>14.73</v>
      </c>
      <c r="F26" s="27" t="n">
        <v>31.04</v>
      </c>
      <c r="G26" s="27" t="n">
        <v>0.03</v>
      </c>
      <c r="H26" s="27" t="n">
        <f aca="false">SUM(B26:G26)</f>
        <v>124.39</v>
      </c>
    </row>
    <row r="27" customFormat="false" ht="15" hidden="false" customHeight="false" outlineLevel="0" collapsed="false">
      <c r="A27" s="24" t="s">
        <v>65</v>
      </c>
      <c r="B27" s="25" t="n">
        <v>87.4</v>
      </c>
      <c r="C27" s="25" t="n">
        <v>48.58</v>
      </c>
      <c r="D27" s="25" t="n">
        <v>28.46</v>
      </c>
      <c r="E27" s="25" t="n">
        <v>40.76</v>
      </c>
      <c r="F27" s="25" t="n">
        <v>12.68</v>
      </c>
      <c r="G27" s="25" t="n">
        <v>0.01</v>
      </c>
      <c r="H27" s="25" t="n">
        <f aca="false">SUM(B27:G27)</f>
        <v>217.89</v>
      </c>
    </row>
    <row r="28" customFormat="false" ht="15" hidden="false" customHeight="false" outlineLevel="0" collapsed="false">
      <c r="A28" s="26" t="s">
        <v>66</v>
      </c>
      <c r="B28" s="27" t="n">
        <v>1513.97</v>
      </c>
      <c r="C28" s="27" t="n">
        <v>965.78</v>
      </c>
      <c r="D28" s="27" t="n">
        <v>1352.28</v>
      </c>
      <c r="E28" s="27" t="n">
        <v>390.15</v>
      </c>
      <c r="F28" s="27" t="n">
        <v>0</v>
      </c>
      <c r="G28" s="27" t="n">
        <v>0</v>
      </c>
      <c r="H28" s="27" t="n">
        <f aca="false">SUM(B28:G28)</f>
        <v>4222.18</v>
      </c>
    </row>
    <row r="29" customFormat="false" ht="15" hidden="false" customHeight="false" outlineLevel="0" collapsed="false">
      <c r="A29" s="24" t="s">
        <v>67</v>
      </c>
      <c r="B29" s="25" t="n">
        <v>0</v>
      </c>
      <c r="C29" s="25" t="n">
        <v>0</v>
      </c>
      <c r="D29" s="25" t="n">
        <v>0</v>
      </c>
      <c r="E29" s="25" t="n">
        <v>0</v>
      </c>
      <c r="F29" s="25" t="n">
        <v>0</v>
      </c>
      <c r="G29" s="25" t="n">
        <v>0</v>
      </c>
      <c r="H29" s="25" t="n">
        <f aca="false">SUM(B29:G29)</f>
        <v>0</v>
      </c>
    </row>
    <row r="30" customFormat="false" ht="15" hidden="false" customHeight="false" outlineLevel="0" collapsed="false">
      <c r="A30" s="26" t="s">
        <v>68</v>
      </c>
      <c r="B30" s="27" t="n">
        <v>38.59</v>
      </c>
      <c r="C30" s="27" t="n">
        <v>31.26</v>
      </c>
      <c r="D30" s="27" t="n">
        <v>23.14</v>
      </c>
      <c r="E30" s="27" t="n">
        <v>16.84</v>
      </c>
      <c r="F30" s="27" t="n">
        <v>35.49</v>
      </c>
      <c r="G30" s="27" t="n">
        <v>0.03</v>
      </c>
      <c r="H30" s="27" t="n">
        <f aca="false">SUM(B30:G30)</f>
        <v>145.35</v>
      </c>
    </row>
    <row r="31" customFormat="false" ht="15" hidden="false" customHeight="false" outlineLevel="0" collapsed="false">
      <c r="A31" s="24" t="s">
        <v>69</v>
      </c>
      <c r="B31" s="25" t="n">
        <v>16.63</v>
      </c>
      <c r="C31" s="25" t="n">
        <v>5.72</v>
      </c>
      <c r="D31" s="25" t="n">
        <v>13.5</v>
      </c>
      <c r="E31" s="25" t="n">
        <v>14.53</v>
      </c>
      <c r="F31" s="25" t="n">
        <v>19.24</v>
      </c>
      <c r="G31" s="25" t="n">
        <v>0.02</v>
      </c>
      <c r="H31" s="25" t="n">
        <f aca="false">SUM(B31:G31)</f>
        <v>69.64</v>
      </c>
    </row>
    <row r="32" customFormat="false" ht="15" hidden="false" customHeight="false" outlineLevel="0" collapsed="false">
      <c r="A32" s="26" t="s">
        <v>70</v>
      </c>
      <c r="B32" s="27" t="n">
        <v>4.19</v>
      </c>
      <c r="C32" s="27" t="n">
        <v>9.19</v>
      </c>
      <c r="D32" s="27" t="n">
        <v>9.43</v>
      </c>
      <c r="E32" s="27" t="n">
        <v>5.35</v>
      </c>
      <c r="F32" s="27" t="n">
        <v>17.37</v>
      </c>
      <c r="G32" s="27" t="n">
        <v>0.01</v>
      </c>
      <c r="H32" s="27" t="n">
        <f aca="false">SUM(B32:G32)</f>
        <v>45.54</v>
      </c>
    </row>
    <row r="33" customFormat="false" ht="15" hidden="false" customHeight="false" outlineLevel="0" collapsed="false">
      <c r="A33" s="24" t="s">
        <v>71</v>
      </c>
      <c r="B33" s="25" t="n">
        <v>4.06</v>
      </c>
      <c r="C33" s="25" t="n">
        <v>0</v>
      </c>
      <c r="D33" s="25" t="n">
        <v>4.98</v>
      </c>
      <c r="E33" s="25" t="n">
        <v>0.56</v>
      </c>
      <c r="F33" s="25" t="n">
        <v>0</v>
      </c>
      <c r="G33" s="25" t="n">
        <v>0</v>
      </c>
      <c r="H33" s="25" t="n">
        <f aca="false">SUM(B33:G33)</f>
        <v>9.6</v>
      </c>
    </row>
    <row r="34" customFormat="false" ht="15" hidden="false" customHeight="false" outlineLevel="0" collapsed="false">
      <c r="A34" s="26" t="s">
        <v>72</v>
      </c>
      <c r="B34" s="27" t="n">
        <v>23.45</v>
      </c>
      <c r="C34" s="27" t="n">
        <v>16.92</v>
      </c>
      <c r="D34" s="27" t="n">
        <v>38.44</v>
      </c>
      <c r="E34" s="27" t="n">
        <v>25.72</v>
      </c>
      <c r="F34" s="27" t="n">
        <v>30.65</v>
      </c>
      <c r="G34" s="27" t="n">
        <v>0.06</v>
      </c>
      <c r="H34" s="27" t="n">
        <f aca="false">SUM(B34:G34)</f>
        <v>135.24</v>
      </c>
    </row>
    <row r="35" customFormat="false" ht="15" hidden="false" customHeight="false" outlineLevel="0" collapsed="false">
      <c r="A35" s="24" t="s">
        <v>73</v>
      </c>
      <c r="B35" s="25" t="n">
        <v>28.33</v>
      </c>
      <c r="C35" s="25" t="n">
        <v>19.43</v>
      </c>
      <c r="D35" s="25" t="n">
        <v>29.83</v>
      </c>
      <c r="E35" s="25" t="n">
        <v>43.41</v>
      </c>
      <c r="F35" s="25" t="n">
        <v>15.8</v>
      </c>
      <c r="G35" s="25" t="n">
        <v>0.08</v>
      </c>
      <c r="H35" s="25" t="n">
        <f aca="false">SUM(B35:G35)</f>
        <v>136.88</v>
      </c>
    </row>
    <row r="36" customFormat="false" ht="15" hidden="false" customHeight="false" outlineLevel="0" collapsed="false">
      <c r="A36" s="26" t="s">
        <v>74</v>
      </c>
      <c r="B36" s="27" t="n">
        <v>0</v>
      </c>
      <c r="C36" s="27" t="n">
        <v>74.44</v>
      </c>
      <c r="D36" s="27" t="n">
        <v>89.24</v>
      </c>
      <c r="E36" s="27" t="n">
        <v>126.57</v>
      </c>
      <c r="F36" s="27" t="n">
        <v>40.56</v>
      </c>
      <c r="G36" s="27" t="n">
        <v>0.16</v>
      </c>
      <c r="H36" s="27" t="n">
        <f aca="false">SUM(B36:G36)</f>
        <v>330.97</v>
      </c>
    </row>
    <row r="37" customFormat="false" ht="15" hidden="false" customHeight="false" outlineLevel="0" collapsed="false">
      <c r="A37" s="24" t="s">
        <v>75</v>
      </c>
      <c r="B37" s="25" t="n">
        <v>3.86</v>
      </c>
      <c r="C37" s="25" t="n">
        <v>3.12</v>
      </c>
      <c r="D37" s="25" t="n">
        <v>2.31</v>
      </c>
      <c r="E37" s="25" t="n">
        <v>1.68</v>
      </c>
      <c r="F37" s="25" t="n">
        <v>3.55</v>
      </c>
      <c r="G37" s="25" t="n">
        <v>0</v>
      </c>
      <c r="H37" s="25" t="n">
        <f aca="false">SUM(B37:G37)</f>
        <v>14.52</v>
      </c>
    </row>
    <row r="38" customFormat="false" ht="15" hidden="false" customHeight="false" outlineLevel="0" collapsed="false">
      <c r="A38" s="26" t="s">
        <v>76</v>
      </c>
      <c r="B38" s="27" t="n">
        <v>310.65</v>
      </c>
      <c r="C38" s="27" t="n">
        <v>76.62</v>
      </c>
      <c r="D38" s="27" t="n">
        <v>71.69</v>
      </c>
      <c r="E38" s="27" t="n">
        <v>40.62</v>
      </c>
      <c r="F38" s="27" t="n">
        <v>97.28</v>
      </c>
      <c r="G38" s="27" t="n">
        <v>0.14</v>
      </c>
      <c r="H38" s="27" t="n">
        <f aca="false">SUM(B38:G38)</f>
        <v>597</v>
      </c>
    </row>
    <row r="39" customFormat="false" ht="15" hidden="false" customHeight="false" outlineLevel="0" collapsed="false">
      <c r="A39" s="17" t="s">
        <v>16</v>
      </c>
      <c r="B39" s="18" t="n">
        <v>9674.7</v>
      </c>
      <c r="C39" s="18" t="n">
        <v>6422.95</v>
      </c>
      <c r="D39" s="18" t="n">
        <v>8545.71</v>
      </c>
      <c r="E39" s="18" t="n">
        <v>7374.82</v>
      </c>
      <c r="F39" s="18" t="n">
        <v>5100.72</v>
      </c>
      <c r="G39" s="18" t="n">
        <v>58.91</v>
      </c>
      <c r="H39" s="18" t="n">
        <f aca="false">SUM(B39:G39)</f>
        <v>37177.81</v>
      </c>
    </row>
    <row r="40" customFormat="false" ht="15" hidden="false" customHeight="false" outlineLevel="0" collapsed="false">
      <c r="A40" s="17" t="s">
        <v>17</v>
      </c>
      <c r="B40" s="18" t="n">
        <v>-37.62</v>
      </c>
      <c r="C40" s="18" t="n">
        <v>287.22</v>
      </c>
      <c r="D40" s="18" t="n">
        <v>173.94</v>
      </c>
      <c r="E40" s="18" t="n">
        <v>208.23</v>
      </c>
      <c r="F40" s="18" t="n">
        <v>-566.99</v>
      </c>
      <c r="G40" s="18" t="n">
        <v>-1.43</v>
      </c>
      <c r="H40" s="18" t="n">
        <f aca="false">SUM(B40:G40)</f>
        <v>63.35</v>
      </c>
    </row>
    <row r="41" customFormat="false" ht="15" hidden="false" customHeight="false" outlineLevel="0" collapsed="false">
      <c r="A41" s="24" t="s">
        <v>77</v>
      </c>
      <c r="B41" s="25" t="n">
        <v>0</v>
      </c>
      <c r="C41" s="25" t="n">
        <v>545.56</v>
      </c>
      <c r="D41" s="25" t="n">
        <v>344.18</v>
      </c>
      <c r="E41" s="25" t="n">
        <v>247.29</v>
      </c>
      <c r="F41" s="25" t="n">
        <v>385.93</v>
      </c>
      <c r="G41" s="25" t="n">
        <v>0.04</v>
      </c>
      <c r="H41" s="25" t="n">
        <f aca="false">SUM(B41:G41)</f>
        <v>1523</v>
      </c>
    </row>
    <row r="42" customFormat="false" ht="15" hidden="false" customHeight="false" outlineLevel="0" collapsed="false">
      <c r="A42" s="26" t="s">
        <v>78</v>
      </c>
      <c r="B42" s="27" t="n">
        <v>26.68</v>
      </c>
      <c r="C42" s="27" t="n">
        <v>45.14</v>
      </c>
      <c r="D42" s="27" t="n">
        <v>12.17</v>
      </c>
      <c r="E42" s="27" t="n">
        <v>13.49</v>
      </c>
      <c r="F42" s="27" t="n">
        <v>5.49</v>
      </c>
      <c r="G42" s="27" t="n">
        <v>0.01</v>
      </c>
      <c r="H42" s="27" t="n">
        <f aca="false">SUM(B42:G42)</f>
        <v>102.98</v>
      </c>
    </row>
    <row r="43" customFormat="false" ht="15" hidden="false" customHeight="false" outlineLevel="0" collapsed="false">
      <c r="A43" s="24" t="s">
        <v>79</v>
      </c>
      <c r="B43" s="25" t="n">
        <v>0.09</v>
      </c>
      <c r="C43" s="25" t="n">
        <v>0.73</v>
      </c>
      <c r="D43" s="25" t="n">
        <v>0.29</v>
      </c>
      <c r="E43" s="25" t="n">
        <v>1.37</v>
      </c>
      <c r="F43" s="25" t="n">
        <v>8.82</v>
      </c>
      <c r="G43" s="25" t="n">
        <v>0</v>
      </c>
      <c r="H43" s="25" t="n">
        <f aca="false">SUM(B43:G43)</f>
        <v>11.3</v>
      </c>
    </row>
    <row r="44" customFormat="false" ht="15" hidden="false" customHeight="false" outlineLevel="0" collapsed="false">
      <c r="A44" s="26" t="s">
        <v>80</v>
      </c>
      <c r="B44" s="27" t="n">
        <v>0</v>
      </c>
      <c r="C44" s="27" t="n">
        <v>0</v>
      </c>
      <c r="D44" s="27" t="n">
        <v>0</v>
      </c>
      <c r="E44" s="27" t="n">
        <v>0</v>
      </c>
      <c r="F44" s="27" t="n">
        <v>0</v>
      </c>
      <c r="G44" s="27" t="n">
        <v>0</v>
      </c>
      <c r="H44" s="27" t="n">
        <f aca="false">SUM(B44:G44)</f>
        <v>0</v>
      </c>
    </row>
    <row r="45" customFormat="false" ht="15" hidden="false" customHeight="false" outlineLevel="0" collapsed="false">
      <c r="A45" s="24" t="s">
        <v>81</v>
      </c>
      <c r="B45" s="25" t="n">
        <v>64.4</v>
      </c>
      <c r="C45" s="25" t="n">
        <v>304.22</v>
      </c>
      <c r="D45" s="25" t="n">
        <v>182.7</v>
      </c>
      <c r="E45" s="25" t="n">
        <v>53.92</v>
      </c>
      <c r="F45" s="25" t="n">
        <v>967.23</v>
      </c>
      <c r="G45" s="25" t="n">
        <v>1.48</v>
      </c>
      <c r="H45" s="25" t="n">
        <f aca="false">SUM(B45:G45)</f>
        <v>1573.95</v>
      </c>
    </row>
    <row r="46" customFormat="false" ht="15" hidden="false" customHeight="false" outlineLevel="0" collapsed="false">
      <c r="A46" s="17" t="s">
        <v>82</v>
      </c>
      <c r="B46" s="18" t="n">
        <v>9637.07</v>
      </c>
      <c r="C46" s="18" t="n">
        <v>6710.17</v>
      </c>
      <c r="D46" s="18" t="n">
        <v>8719.65</v>
      </c>
      <c r="E46" s="18" t="n">
        <v>7583.05</v>
      </c>
      <c r="F46" s="18" t="n">
        <v>4533.73</v>
      </c>
      <c r="G46" s="18" t="n">
        <v>57.48</v>
      </c>
      <c r="H46" s="18" t="n">
        <f aca="false">SUM(B46:G46)</f>
        <v>37241.15</v>
      </c>
    </row>
    <row r="47" customFormat="false" ht="15" hidden="false" customHeight="false" outlineLevel="0" collapsed="false">
      <c r="A47" s="24" t="s">
        <v>83</v>
      </c>
      <c r="B47" s="25" t="n">
        <v>0</v>
      </c>
      <c r="C47" s="25" t="n">
        <v>0</v>
      </c>
      <c r="D47" s="25" t="n">
        <v>0</v>
      </c>
      <c r="E47" s="25" t="n">
        <v>0</v>
      </c>
      <c r="F47" s="25" t="n">
        <v>0</v>
      </c>
      <c r="G47" s="25" t="n">
        <v>0</v>
      </c>
      <c r="H47" s="25" t="n">
        <f aca="false">SUM(B47:G47)</f>
        <v>0</v>
      </c>
    </row>
    <row r="48" customFormat="false" ht="15" hidden="false" customHeight="false" outlineLevel="0" collapsed="false">
      <c r="A48" s="11" t="s">
        <v>18</v>
      </c>
      <c r="B48" s="28" t="n">
        <v>9637.07</v>
      </c>
      <c r="C48" s="28" t="n">
        <v>6710.17</v>
      </c>
      <c r="D48" s="28" t="n">
        <v>8719.65</v>
      </c>
      <c r="E48" s="28" t="n">
        <v>7583.05</v>
      </c>
      <c r="F48" s="28" t="n">
        <v>4533.73</v>
      </c>
      <c r="G48" s="28" t="n">
        <v>57.48</v>
      </c>
      <c r="H48" s="28" t="n">
        <f aca="false">SUM(B48:G48)</f>
        <v>37241.15</v>
      </c>
    </row>
    <row r="50" customFormat="false" ht="15" hidden="false" customHeight="false" outlineLevel="0" collapsed="false">
      <c r="A50" s="3" t="s">
        <v>84</v>
      </c>
      <c r="B50" s="3"/>
      <c r="C50" s="3"/>
      <c r="D50" s="3"/>
      <c r="E50" s="3"/>
      <c r="F50" s="3"/>
      <c r="G50" s="3"/>
      <c r="H50" s="3"/>
    </row>
    <row r="51" customFormat="false" ht="15" hidden="false" customHeight="false" outlineLevel="0" collapsed="false">
      <c r="A51" s="22" t="s">
        <v>3</v>
      </c>
      <c r="B51" s="23" t="s">
        <v>4</v>
      </c>
      <c r="C51" s="23" t="s">
        <v>5</v>
      </c>
      <c r="D51" s="23" t="s">
        <v>6</v>
      </c>
      <c r="E51" s="23" t="s">
        <v>7</v>
      </c>
      <c r="F51" s="23" t="s">
        <v>8</v>
      </c>
      <c r="G51" s="23" t="s">
        <v>9</v>
      </c>
      <c r="H51" s="23" t="s">
        <v>10</v>
      </c>
    </row>
    <row r="52" customFormat="false" ht="15" hidden="false" customHeight="false" outlineLevel="0" collapsed="false">
      <c r="A52" s="17" t="s">
        <v>12</v>
      </c>
      <c r="B52" s="19" t="n">
        <f aca="false">IF(B$4=0,0,B4/B$4)</f>
        <v>1</v>
      </c>
      <c r="C52" s="19" t="n">
        <f aca="false">IF(C$4=0,0,C4/C$4)</f>
        <v>1</v>
      </c>
      <c r="D52" s="19" t="n">
        <f aca="false">IF(D$4=0,0,D4/D$4)</f>
        <v>1</v>
      </c>
      <c r="E52" s="19" t="n">
        <f aca="false">IF(E$4=0,0,E4/E$4)</f>
        <v>1</v>
      </c>
      <c r="F52" s="19" t="n">
        <f aca="false">IF(F$4=0,0,F4/F$4)</f>
        <v>1</v>
      </c>
      <c r="G52" s="19" t="n">
        <f aca="false">IF(G$4=0,0,G4/G$4)</f>
        <v>1</v>
      </c>
      <c r="H52" s="19" t="n">
        <f aca="false">IF(H$4=0,0,H4/H$4)</f>
        <v>1</v>
      </c>
    </row>
    <row r="53" customFormat="false" ht="15" hidden="false" customHeight="false" outlineLevel="0" collapsed="false">
      <c r="A53" s="24" t="s">
        <v>32</v>
      </c>
      <c r="B53" s="29" t="n">
        <f aca="false">IF(B$4=0,0,B5/B$4)</f>
        <v>1</v>
      </c>
      <c r="C53" s="29" t="n">
        <f aca="false">IF(C$4=0,0,C5/C$4)</f>
        <v>1</v>
      </c>
      <c r="D53" s="29" t="n">
        <f aca="false">IF(D$4=0,0,D5/D$4)</f>
        <v>1</v>
      </c>
      <c r="E53" s="29" t="n">
        <f aca="false">IF(E$4=0,0,E5/E$4)</f>
        <v>1</v>
      </c>
      <c r="F53" s="29" t="n">
        <f aca="false">IF(F$4=0,0,F5/F$4)</f>
        <v>1</v>
      </c>
      <c r="G53" s="29" t="n">
        <f aca="false">IF(G$4=0,0,G5/G$4)</f>
        <v>1</v>
      </c>
      <c r="H53" s="29" t="n">
        <f aca="false">IF(H$4=0,0,H5/H$4)</f>
        <v>1</v>
      </c>
    </row>
    <row r="54" customFormat="false" ht="15" hidden="false" customHeight="false" outlineLevel="0" collapsed="false">
      <c r="A54" s="26" t="s">
        <v>40</v>
      </c>
      <c r="B54" s="30" t="n">
        <f aca="false">IF(B$4=0,0,B6/B$4)</f>
        <v>0</v>
      </c>
      <c r="C54" s="30" t="n">
        <f aca="false">IF(C$4=0,0,C6/C$4)</f>
        <v>0</v>
      </c>
      <c r="D54" s="30" t="n">
        <f aca="false">IF(D$4=0,0,D6/D$4)</f>
        <v>0</v>
      </c>
      <c r="E54" s="30" t="n">
        <f aca="false">IF(E$4=0,0,E6/E$4)</f>
        <v>0</v>
      </c>
      <c r="F54" s="30" t="n">
        <f aca="false">IF(F$4=0,0,F6/F$4)</f>
        <v>0</v>
      </c>
      <c r="G54" s="30" t="n">
        <f aca="false">IF(G$4=0,0,G6/G$4)</f>
        <v>0</v>
      </c>
      <c r="H54" s="30" t="n">
        <f aca="false">IF(H$4=0,0,H6/H$4)</f>
        <v>0</v>
      </c>
    </row>
    <row r="55" customFormat="false" ht="15" hidden="false" customHeight="false" outlineLevel="0" collapsed="false">
      <c r="A55" s="17" t="s">
        <v>13</v>
      </c>
      <c r="B55" s="19" t="n">
        <f aca="false">IF(B$4=0,0,B7/B$4)</f>
        <v>0.806650751661398</v>
      </c>
      <c r="C55" s="19" t="n">
        <f aca="false">IF(C$4=0,0,C7/C$4)</f>
        <v>0.81682624906786</v>
      </c>
      <c r="D55" s="19" t="n">
        <f aca="false">IF(D$4=0,0,D7/D$4)</f>
        <v>0.829317957166392</v>
      </c>
      <c r="E55" s="19" t="n">
        <f aca="false">IF(E$4=0,0,E7/E$4)</f>
        <v>0.765845463500055</v>
      </c>
      <c r="F55" s="19" t="n">
        <f aca="false">IF(F$4=0,0,F7/F$4)</f>
        <v>0.929915197134792</v>
      </c>
      <c r="G55" s="19" t="n">
        <f aca="false">IF(G$4=0,0,G7/G$4)</f>
        <v>0.532928571428571</v>
      </c>
      <c r="H55" s="19" t="n">
        <f aca="false">IF(H$4=0,0,H7/H$4)</f>
        <v>0.855527947675446</v>
      </c>
    </row>
    <row r="56" customFormat="false" ht="15" hidden="false" customHeight="false" outlineLevel="0" collapsed="false">
      <c r="A56" s="26" t="s">
        <v>44</v>
      </c>
      <c r="B56" s="30" t="n">
        <f aca="false">IF(B$4=0,0,B8/B$4)</f>
        <v>0.806650751661398</v>
      </c>
      <c r="C56" s="30" t="n">
        <f aca="false">IF(C$4=0,0,C8/C$4)</f>
        <v>0.81682624906786</v>
      </c>
      <c r="D56" s="30" t="n">
        <f aca="false">IF(D$4=0,0,D8/D$4)</f>
        <v>0.829317957166392</v>
      </c>
      <c r="E56" s="30" t="n">
        <f aca="false">IF(E$4=0,0,E8/E$4)</f>
        <v>0.765845463500055</v>
      </c>
      <c r="F56" s="30" t="n">
        <f aca="false">IF(F$4=0,0,F8/F$4)</f>
        <v>0.929915197134792</v>
      </c>
      <c r="G56" s="30" t="n">
        <f aca="false">IF(G$4=0,0,G8/G$4)</f>
        <v>0.532928571428571</v>
      </c>
      <c r="H56" s="30" t="n">
        <f aca="false">IF(H$4=0,0,H8/H$4)</f>
        <v>0.855527947675446</v>
      </c>
    </row>
    <row r="57" customFormat="false" ht="15" hidden="false" customHeight="false" outlineLevel="0" collapsed="false">
      <c r="A57" s="24" t="s">
        <v>49</v>
      </c>
      <c r="B57" s="29" t="n">
        <f aca="false">IF(B$4=0,0,B9/B$4)</f>
        <v>0</v>
      </c>
      <c r="C57" s="29" t="n">
        <f aca="false">IF(C$4=0,0,C9/C$4)</f>
        <v>0</v>
      </c>
      <c r="D57" s="29" t="n">
        <f aca="false">IF(D$4=0,0,D9/D$4)</f>
        <v>0</v>
      </c>
      <c r="E57" s="29" t="n">
        <f aca="false">IF(E$4=0,0,E9/E$4)</f>
        <v>0</v>
      </c>
      <c r="F57" s="29" t="n">
        <f aca="false">IF(F$4=0,0,F9/F$4)</f>
        <v>0</v>
      </c>
      <c r="G57" s="29" t="n">
        <f aca="false">IF(G$4=0,0,G9/G$4)</f>
        <v>0</v>
      </c>
      <c r="H57" s="29" t="n">
        <f aca="false">IF(H$4=0,0,H9/H$4)</f>
        <v>0</v>
      </c>
    </row>
    <row r="58" customFormat="false" ht="15" hidden="false" customHeight="false" outlineLevel="0" collapsed="false">
      <c r="A58" s="26" t="s">
        <v>50</v>
      </c>
      <c r="B58" s="30" t="n">
        <f aca="false">IF(B$4=0,0,B10/B$4)</f>
        <v>0</v>
      </c>
      <c r="C58" s="30" t="n">
        <f aca="false">IF(C$4=0,0,C10/C$4)</f>
        <v>0</v>
      </c>
      <c r="D58" s="30" t="n">
        <f aca="false">IF(D$4=0,0,D10/D$4)</f>
        <v>0</v>
      </c>
      <c r="E58" s="30" t="n">
        <f aca="false">IF(E$4=0,0,E10/E$4)</f>
        <v>0</v>
      </c>
      <c r="F58" s="30" t="n">
        <f aca="false">IF(F$4=0,0,F10/F$4)</f>
        <v>0</v>
      </c>
      <c r="G58" s="30" t="n">
        <f aca="false">IF(G$4=0,0,G10/G$4)</f>
        <v>0</v>
      </c>
      <c r="H58" s="30" t="n">
        <f aca="false">IF(H$4=0,0,H10/H$4)</f>
        <v>0</v>
      </c>
    </row>
    <row r="59" customFormat="false" ht="15" hidden="false" customHeight="false" outlineLevel="0" collapsed="false">
      <c r="A59" s="17" t="s">
        <v>14</v>
      </c>
      <c r="B59" s="19" t="n">
        <f aca="false">IF(B$4=0,0,B11/B$4)</f>
        <v>0.193349248338603</v>
      </c>
      <c r="C59" s="19" t="n">
        <f aca="false">IF(C$4=0,0,C11/C$4)</f>
        <v>0.18317375093214</v>
      </c>
      <c r="D59" s="19" t="n">
        <f aca="false">IF(D$4=0,0,D11/D$4)</f>
        <v>0.170682042833608</v>
      </c>
      <c r="E59" s="19" t="n">
        <f aca="false">IF(E$4=0,0,E11/E$4)</f>
        <v>0.234154536499945</v>
      </c>
      <c r="F59" s="19" t="n">
        <f aca="false">IF(F$4=0,0,F11/F$4)</f>
        <v>0.0700848028652078</v>
      </c>
      <c r="G59" s="19" t="n">
        <f aca="false">IF(G$4=0,0,G11/G$4)</f>
        <v>0.467071428571429</v>
      </c>
      <c r="H59" s="19" t="n">
        <f aca="false">IF(H$4=0,0,H11/H$4)</f>
        <v>0.144472052324554</v>
      </c>
    </row>
    <row r="60" customFormat="false" ht="15" hidden="false" customHeight="false" outlineLevel="0" collapsed="false">
      <c r="A60" s="17" t="s">
        <v>15</v>
      </c>
      <c r="B60" s="19" t="n">
        <f aca="false">IF(B$4=0,0,B12/B$4)</f>
        <v>0.0685063552487257</v>
      </c>
      <c r="C60" s="19" t="n">
        <f aca="false">IF(C$4=0,0,C12/C$4)</f>
        <v>0.0767365978954346</v>
      </c>
      <c r="D60" s="19" t="n">
        <f aca="false">IF(D$4=0,0,D12/D$4)</f>
        <v>0.0580532454695222</v>
      </c>
      <c r="E60" s="19" t="n">
        <f aca="false">IF(E$4=0,0,E12/E$4)</f>
        <v>0.0727269344423772</v>
      </c>
      <c r="F60" s="19" t="n">
        <f aca="false">IF(F$4=0,0,F12/F$4)</f>
        <v>0.0391216195708259</v>
      </c>
      <c r="G60" s="19" t="n">
        <f aca="false">IF(G$4=0,0,G12/G$4)</f>
        <v>0.0462857142857143</v>
      </c>
      <c r="H60" s="19" t="n">
        <f aca="false">IF(H$4=0,0,H12/H$4)</f>
        <v>0.0568453715161157</v>
      </c>
    </row>
    <row r="61" customFormat="false" ht="15" hidden="false" customHeight="false" outlineLevel="0" collapsed="false">
      <c r="A61" s="24" t="s">
        <v>51</v>
      </c>
      <c r="B61" s="29" t="n">
        <f aca="false">IF(B$4=0,0,B13/B$4)</f>
        <v>0.00981353635718433</v>
      </c>
      <c r="C61" s="29" t="n">
        <f aca="false">IF(C$4=0,0,C13/C$4)</f>
        <v>0.0251232082194051</v>
      </c>
      <c r="D61" s="29" t="n">
        <f aca="false">IF(D$4=0,0,D13/D$4)</f>
        <v>0.0179404283360791</v>
      </c>
      <c r="E61" s="29" t="n">
        <f aca="false">IF(E$4=0,0,E13/E$4)</f>
        <v>0.0248952610265952</v>
      </c>
      <c r="F61" s="29" t="n">
        <f aca="false">IF(F$4=0,0,F13/F$4)</f>
        <v>0.0176043949373236</v>
      </c>
      <c r="G61" s="29" t="n">
        <f aca="false">IF(G$4=0,0,G13/G$4)</f>
        <v>0.0186428571428571</v>
      </c>
      <c r="H61" s="29" t="n">
        <f aca="false">IF(H$4=0,0,H13/H$4)</f>
        <v>0.0180962818926404</v>
      </c>
    </row>
    <row r="62" customFormat="false" ht="15" hidden="false" customHeight="false" outlineLevel="0" collapsed="false">
      <c r="A62" s="26" t="s">
        <v>52</v>
      </c>
      <c r="B62" s="30" t="n">
        <f aca="false">IF(B$4=0,0,B14/B$4)</f>
        <v>0.00910729724498355</v>
      </c>
      <c r="C62" s="30" t="n">
        <f aca="false">IF(C$4=0,0,C14/C$4)</f>
        <v>0</v>
      </c>
      <c r="D62" s="30" t="n">
        <f aca="false">IF(D$4=0,0,D14/D$4)</f>
        <v>0</v>
      </c>
      <c r="E62" s="30" t="n">
        <f aca="false">IF(E$4=0,0,E14/E$4)</f>
        <v>0</v>
      </c>
      <c r="F62" s="30" t="n">
        <f aca="false">IF(F$4=0,0,F14/F$4)</f>
        <v>0</v>
      </c>
      <c r="G62" s="30" t="n">
        <f aca="false">IF(G$4=0,0,G14/G$4)</f>
        <v>0</v>
      </c>
      <c r="H62" s="30" t="n">
        <f aca="false">IF(H$4=0,0,H14/H$4)</f>
        <v>0.00166347298332449</v>
      </c>
    </row>
    <row r="63" customFormat="false" ht="15" hidden="false" customHeight="false" outlineLevel="0" collapsed="false">
      <c r="A63" s="24" t="s">
        <v>53</v>
      </c>
      <c r="B63" s="29" t="n">
        <f aca="false">IF(B$4=0,0,B15/B$4)</f>
        <v>0.000571778824440287</v>
      </c>
      <c r="C63" s="29" t="n">
        <f aca="false">IF(C$4=0,0,C15/C$4)</f>
        <v>0.000583644046731295</v>
      </c>
      <c r="D63" s="29" t="n">
        <f aca="false">IF(D$4=0,0,D15/D$4)</f>
        <v>0.00032171334431631</v>
      </c>
      <c r="E63" s="29" t="n">
        <f aca="false">IF(E$4=0,0,E15/E$4)</f>
        <v>0.000479807376600635</v>
      </c>
      <c r="F63" s="29" t="n">
        <f aca="false">IF(F$4=0,0,F15/F$4)</f>
        <v>0.000484232251798343</v>
      </c>
      <c r="G63" s="29" t="n">
        <f aca="false">IF(G$4=0,0,G15/G$4)</f>
        <v>0.0005</v>
      </c>
      <c r="H63" s="29" t="n">
        <f aca="false">IF(H$4=0,0,H15/H$4)</f>
        <v>0.000484827057922338</v>
      </c>
    </row>
    <row r="64" customFormat="false" ht="15" hidden="false" customHeight="false" outlineLevel="0" collapsed="false">
      <c r="A64" s="26" t="s">
        <v>54</v>
      </c>
      <c r="B64" s="30" t="n">
        <f aca="false">IF(B$4=0,0,B16/B$4)</f>
        <v>0.000681463320214207</v>
      </c>
      <c r="C64" s="30" t="n">
        <f aca="false">IF(C$4=0,0,C16/C$4)</f>
        <v>0.0019272516364239</v>
      </c>
      <c r="D64" s="30" t="n">
        <f aca="false">IF(D$4=0,0,D16/D$4)</f>
        <v>0.00138662273476112</v>
      </c>
      <c r="E64" s="30" t="n">
        <f aca="false">IF(E$4=0,0,E16/E$4)</f>
        <v>0.00186910364452227</v>
      </c>
      <c r="F64" s="30" t="n">
        <f aca="false">IF(F$4=0,0,F16/F$4)</f>
        <v>0.00135350714784351</v>
      </c>
      <c r="G64" s="30" t="n">
        <f aca="false">IF(G$4=0,0,G16/G$4)</f>
        <v>0.00142857142857143</v>
      </c>
      <c r="H64" s="30" t="n">
        <f aca="false">IF(H$4=0,0,H16/H$4)</f>
        <v>0.00137382593836545</v>
      </c>
    </row>
    <row r="65" customFormat="false" ht="15" hidden="false" customHeight="false" outlineLevel="0" collapsed="false">
      <c r="A65" s="24" t="s">
        <v>55</v>
      </c>
      <c r="B65" s="29" t="n">
        <f aca="false">IF(B$4=0,0,B17/B$4)</f>
        <v>0.00311362023356346</v>
      </c>
      <c r="C65" s="29" t="n">
        <f aca="false">IF(C$4=0,0,C17/C$4)</f>
        <v>0.00796354296130583</v>
      </c>
      <c r="D65" s="29" t="n">
        <f aca="false">IF(D$4=0,0,D17/D$4)</f>
        <v>0.0040201647446458</v>
      </c>
      <c r="E65" s="29" t="n">
        <f aca="false">IF(E$4=0,0,E17/E$4)</f>
        <v>0.00691080223268031</v>
      </c>
      <c r="F65" s="29" t="n">
        <f aca="false">IF(F$4=0,0,F17/F$4)</f>
        <v>0.00421652957780678</v>
      </c>
      <c r="G65" s="29" t="n">
        <f aca="false">IF(G$4=0,0,G17/G$4)</f>
        <v>0.00657142857142857</v>
      </c>
      <c r="H65" s="29" t="n">
        <f aca="false">IF(H$4=0,0,H17/H$4)</f>
        <v>0.00480379470862059</v>
      </c>
    </row>
    <row r="66" customFormat="false" ht="15" hidden="false" customHeight="false" outlineLevel="0" collapsed="false">
      <c r="A66" s="26" t="s">
        <v>56</v>
      </c>
      <c r="B66" s="30" t="n">
        <f aca="false">IF(B$4=0,0,B18/B$4)</f>
        <v>0.000189689657397251</v>
      </c>
      <c r="C66" s="30" t="n">
        <f aca="false">IF(C$4=0,0,C18/C$4)</f>
        <v>0</v>
      </c>
      <c r="D66" s="30" t="n">
        <f aca="false">IF(D$4=0,0,D18/D$4)</f>
        <v>5.74629324546952E-005</v>
      </c>
      <c r="E66" s="30" t="n">
        <f aca="false">IF(E$4=0,0,E18/E$4)</f>
        <v>0.000641348363795557</v>
      </c>
      <c r="F66" s="30" t="n">
        <f aca="false">IF(F$4=0,0,F18/F$4)</f>
        <v>0.000363796400279236</v>
      </c>
      <c r="G66" s="30" t="n">
        <f aca="false">IF(G$4=0,0,G18/G$4)</f>
        <v>0.000214285714285714</v>
      </c>
      <c r="H66" s="30" t="n">
        <f aca="false">IF(H$4=0,0,H18/H$4)</f>
        <v>0.000255306110423664</v>
      </c>
    </row>
    <row r="67" customFormat="false" ht="15" hidden="false" customHeight="false" outlineLevel="0" collapsed="false">
      <c r="A67" s="24" t="s">
        <v>57</v>
      </c>
      <c r="B67" s="29" t="n">
        <f aca="false">IF(B$4=0,0,B19/B$4)</f>
        <v>1.38073424091877E-005</v>
      </c>
      <c r="C67" s="29" t="n">
        <f aca="false">IF(C$4=0,0,C19/C$4)</f>
        <v>0</v>
      </c>
      <c r="D67" s="29" t="n">
        <f aca="false">IF(D$4=0,0,D19/D$4)</f>
        <v>6.03624382207578E-005</v>
      </c>
      <c r="E67" s="29" t="n">
        <f aca="false">IF(E$4=0,0,E19/E$4)</f>
        <v>5.66925686768086E-005</v>
      </c>
      <c r="F67" s="29" t="n">
        <f aca="false">IF(F$4=0,0,F19/F$4)</f>
        <v>7.07196406349592E-005</v>
      </c>
      <c r="G67" s="29" t="n">
        <f aca="false">IF(G$4=0,0,G19/G$4)</f>
        <v>0.000214285714285714</v>
      </c>
      <c r="H67" s="29" t="n">
        <f aca="false">IF(H$4=0,0,H19/H$4)</f>
        <v>4.69506805727417E-005</v>
      </c>
    </row>
    <row r="68" customFormat="false" ht="15" hidden="false" customHeight="false" outlineLevel="0" collapsed="false">
      <c r="A68" s="26" t="s">
        <v>58</v>
      </c>
      <c r="B68" s="30" t="n">
        <f aca="false">IF(B$4=0,0,B20/B$4)</f>
        <v>0.000398219239950965</v>
      </c>
      <c r="C68" s="30" t="n">
        <f aca="false">IF(C$4=0,0,C20/C$4)</f>
        <v>0.000434170188085177</v>
      </c>
      <c r="D68" s="30" t="n">
        <f aca="false">IF(D$4=0,0,D20/D$4)</f>
        <v>0.000200593080724876</v>
      </c>
      <c r="E68" s="30" t="n">
        <f aca="false">IF(E$4=0,0,E20/E$4)</f>
        <v>0.000532122140746416</v>
      </c>
      <c r="F68" s="30" t="n">
        <f aca="false">IF(F$4=0,0,F20/F$4)</f>
        <v>0.000248581054420736</v>
      </c>
      <c r="G68" s="30" t="n">
        <f aca="false">IF(G$4=0,0,G20/G$4)</f>
        <v>7.14285714285714E-005</v>
      </c>
      <c r="H68" s="30" t="n">
        <f aca="false">IF(H$4=0,0,H20/H$4)</f>
        <v>0.000324200106063284</v>
      </c>
    </row>
    <row r="69" customFormat="false" ht="15" hidden="false" customHeight="false" outlineLevel="0" collapsed="false">
      <c r="A69" s="24" t="s">
        <v>59</v>
      </c>
      <c r="B69" s="29" t="n">
        <f aca="false">IF(B$4=0,0,B21/B$4)</f>
        <v>5.32937608877992E-005</v>
      </c>
      <c r="C69" s="29" t="n">
        <f aca="false">IF(C$4=0,0,C21/C$4)</f>
        <v>5.91598309719115E-005</v>
      </c>
      <c r="D69" s="29" t="n">
        <f aca="false">IF(D$4=0,0,D21/D$4)</f>
        <v>2.02965403624382E-005</v>
      </c>
      <c r="E69" s="29" t="n">
        <f aca="false">IF(E$4=0,0,E21/E$4)</f>
        <v>3.48035460216701E-005</v>
      </c>
      <c r="F69" s="29" t="n">
        <f aca="false">IF(F$4=0,0,F21/F$4)</f>
        <v>6.06428506389049E-005</v>
      </c>
      <c r="G69" s="29" t="n">
        <f aca="false">IF(G$4=0,0,G21/G$4)</f>
        <v>0.000214285714285714</v>
      </c>
      <c r="H69" s="29" t="n">
        <f aca="false">IF(H$4=0,0,H21/H$4)</f>
        <v>4.91426551175535E-005</v>
      </c>
    </row>
    <row r="70" customFormat="false" ht="15" hidden="false" customHeight="false" outlineLevel="0" collapsed="false">
      <c r="A70" s="26" t="s">
        <v>60</v>
      </c>
      <c r="B70" s="30" t="n">
        <f aca="false">IF(B$4=0,0,B22/B$4)</f>
        <v>0.00869656106845603</v>
      </c>
      <c r="C70" s="30" t="n">
        <f aca="false">IF(C$4=0,0,C22/C$4)</f>
        <v>0.00904664843814732</v>
      </c>
      <c r="D70" s="30" t="n">
        <f aca="false">IF(D$4=0,0,D22/D$4)</f>
        <v>0.00532507413509061</v>
      </c>
      <c r="E70" s="30" t="n">
        <f aca="false">IF(E$4=0,0,E22/E$4)</f>
        <v>0.00731574915180037</v>
      </c>
      <c r="F70" s="30" t="n">
        <f aca="false">IF(F$4=0,0,F22/F$4)</f>
        <v>0.00427522991471151</v>
      </c>
      <c r="G70" s="30" t="n">
        <f aca="false">IF(G$4=0,0,G22/G$4)</f>
        <v>0.005</v>
      </c>
      <c r="H70" s="30" t="n">
        <f aca="false">IF(H$4=0,0,H22/H$4)</f>
        <v>0.00627682517235284</v>
      </c>
    </row>
    <row r="71" customFormat="false" ht="15" hidden="false" customHeight="false" outlineLevel="0" collapsed="false">
      <c r="A71" s="24" t="s">
        <v>61</v>
      </c>
      <c r="B71" s="29" t="n">
        <f aca="false">IF(B$4=0,0,B23/B$4)</f>
        <v>0.00596864313826699</v>
      </c>
      <c r="C71" s="29" t="n">
        <f aca="false">IF(C$4=0,0,C23/C$4)</f>
        <v>0.00675416355953269</v>
      </c>
      <c r="D71" s="29" t="n">
        <f aca="false">IF(D$4=0,0,D23/D$4)</f>
        <v>0.00351433278418451</v>
      </c>
      <c r="E71" s="29" t="n">
        <f aca="false">IF(E$4=0,0,E23/E$4)</f>
        <v>0.00862011601182007</v>
      </c>
      <c r="F71" s="29" t="n">
        <f aca="false">IF(F$4=0,0,F23/F$4)</f>
        <v>0.0036244271102073</v>
      </c>
      <c r="G71" s="29" t="n">
        <f aca="false">IF(G$4=0,0,G23/G$4)</f>
        <v>0.00435714285714286</v>
      </c>
      <c r="H71" s="29" t="n">
        <f aca="false">IF(H$4=0,0,H23/H$4)</f>
        <v>0.00501622768251724</v>
      </c>
    </row>
    <row r="72" customFormat="false" ht="15" hidden="false" customHeight="false" outlineLevel="0" collapsed="false">
      <c r="A72" s="26" t="s">
        <v>62</v>
      </c>
      <c r="B72" s="30" t="n">
        <f aca="false">IF(B$4=0,0,B24/B$4)</f>
        <v>0.0021983353764759</v>
      </c>
      <c r="C72" s="30" t="n">
        <f aca="false">IF(C$4=0,0,C24/C$4)</f>
        <v>0.00260004971414367</v>
      </c>
      <c r="D72" s="30" t="n">
        <f aca="false">IF(D$4=0,0,D24/D$4)</f>
        <v>0.00183512355848435</v>
      </c>
      <c r="E72" s="30" t="n">
        <f aca="false">IF(E$4=0,0,E24/E$4)</f>
        <v>0.0047271533326037</v>
      </c>
      <c r="F72" s="30" t="n">
        <f aca="false">IF(F$4=0,0,F24/F$4)</f>
        <v>0.00457413421555832</v>
      </c>
      <c r="G72" s="30" t="n">
        <f aca="false">IF(G$4=0,0,G24/G$4)</f>
        <v>0.004</v>
      </c>
      <c r="H72" s="30" t="n">
        <f aca="false">IF(H$4=0,0,H24/H$4)</f>
        <v>0.00338587001355253</v>
      </c>
    </row>
    <row r="73" customFormat="false" ht="15" hidden="false" customHeight="false" outlineLevel="0" collapsed="false">
      <c r="A73" s="24" t="s">
        <v>63</v>
      </c>
      <c r="B73" s="29" t="n">
        <f aca="false">IF(B$4=0,0,B25/B$4)</f>
        <v>0.000550229047035293</v>
      </c>
      <c r="C73" s="29" t="n">
        <f aca="false">IF(C$4=0,0,C25/C$4)</f>
        <v>0.00055381556052697</v>
      </c>
      <c r="D73" s="29" t="n">
        <f aca="false">IF(D$4=0,0,D25/D$4)</f>
        <v>0.000312883031301483</v>
      </c>
      <c r="E73" s="29" t="n">
        <f aca="false">IF(E$4=0,0,E25/E$4)</f>
        <v>0.000337090948889132</v>
      </c>
      <c r="F73" s="29" t="n">
        <f aca="false">IF(F$4=0,0,F25/F$4)</f>
        <v>0.000192855191671472</v>
      </c>
      <c r="G73" s="29" t="n">
        <f aca="false">IF(G$4=0,0,G25/G$4)</f>
        <v>0.000285714285714286</v>
      </c>
      <c r="H73" s="29" t="n">
        <f aca="false">IF(H$4=0,0,H25/H$4)</f>
        <v>0.000346496965411584</v>
      </c>
    </row>
    <row r="74" customFormat="false" ht="15" hidden="false" customHeight="false" outlineLevel="0" collapsed="false">
      <c r="A74" s="26" t="s">
        <v>64</v>
      </c>
      <c r="B74" s="30" t="n">
        <f aca="false">IF(B$4=0,0,B26/B$4)</f>
        <v>0.000434608684431254</v>
      </c>
      <c r="C74" s="30" t="n">
        <f aca="false">IF(C$4=0,0,C26/C$4)</f>
        <v>0.000408815974811501</v>
      </c>
      <c r="D74" s="30" t="n">
        <f aca="false">IF(D$4=0,0,D26/D$4)</f>
        <v>0.000266754530477759</v>
      </c>
      <c r="E74" s="30" t="n">
        <f aca="false">IF(E$4=0,0,E26/E$4)</f>
        <v>0.000322425303710189</v>
      </c>
      <c r="F74" s="30" t="n">
        <f aca="false">IF(F$4=0,0,F26/F$4)</f>
        <v>0.000188423832215376</v>
      </c>
      <c r="G74" s="30" t="n">
        <f aca="false">IF(G$4=0,0,G26/G$4)</f>
        <v>0.000214285714285714</v>
      </c>
      <c r="H74" s="30" t="n">
        <f aca="false">IF(H$4=0,0,H26/H$4)</f>
        <v>0.00029318248777326</v>
      </c>
    </row>
    <row r="75" customFormat="false" ht="15" hidden="false" customHeight="false" outlineLevel="0" collapsed="false">
      <c r="A75" s="24" t="s">
        <v>65</v>
      </c>
      <c r="B75" s="29" t="n">
        <f aca="false">IF(B$4=0,0,B27/B$4)</f>
        <v>0.00112781469772243</v>
      </c>
      <c r="C75" s="29" t="n">
        <f aca="false">IF(C$4=0,0,C27/C$4)</f>
        <v>0.000805037699892286</v>
      </c>
      <c r="D75" s="29" t="n">
        <f aca="false">IF(D$4=0,0,D27/D$4)</f>
        <v>0.00037509060955519</v>
      </c>
      <c r="E75" s="29" t="n">
        <f aca="false">IF(E$4=0,0,E27/E$4)</f>
        <v>0.000892196563423443</v>
      </c>
      <c r="F75" s="29" t="n">
        <f aca="false">IF(F$4=0,0,F27/F$4)</f>
        <v>7.69721067168483E-005</v>
      </c>
      <c r="G75" s="29" t="n">
        <f aca="false">IF(G$4=0,0,G27/G$4)</f>
        <v>7.14285714285714E-005</v>
      </c>
      <c r="H75" s="29" t="n">
        <f aca="false">IF(H$4=0,0,H27/H$4)</f>
        <v>0.000513558423192505</v>
      </c>
    </row>
    <row r="76" customFormat="false" ht="15" hidden="false" customHeight="false" outlineLevel="0" collapsed="false">
      <c r="A76" s="26" t="s">
        <v>66</v>
      </c>
      <c r="B76" s="30" t="n">
        <f aca="false">IF(B$4=0,0,B28/B$4)</f>
        <v>0.0195363571843345</v>
      </c>
      <c r="C76" s="30" t="n">
        <f aca="false">IF(C$4=0,0,C28/C$4)</f>
        <v>0.0160043085591184</v>
      </c>
      <c r="D76" s="30" t="n">
        <f aca="false">IF(D$4=0,0,D28/D$4)</f>
        <v>0.017822471169687</v>
      </c>
      <c r="E76" s="30" t="n">
        <f aca="false">IF(E$4=0,0,E28/E$4)</f>
        <v>0.00854000218890227</v>
      </c>
      <c r="F76" s="30" t="n">
        <f aca="false">IF(F$4=0,0,F28/F$4)</f>
        <v>0</v>
      </c>
      <c r="G76" s="30" t="n">
        <f aca="false">IF(G$4=0,0,G28/G$4)</f>
        <v>0</v>
      </c>
      <c r="H76" s="30" t="n">
        <f aca="false">IF(H$4=0,0,H28/H$4)</f>
        <v>0.00995151729420776</v>
      </c>
    </row>
    <row r="77" customFormat="false" ht="15" hidden="false" customHeight="false" outlineLevel="0" collapsed="false">
      <c r="A77" s="24" t="s">
        <v>67</v>
      </c>
      <c r="B77" s="29" t="n">
        <f aca="false">IF(B$4=0,0,B29/B$4)</f>
        <v>0</v>
      </c>
      <c r="C77" s="29" t="n">
        <f aca="false">IF(C$4=0,0,C29/C$4)</f>
        <v>0</v>
      </c>
      <c r="D77" s="29" t="n">
        <f aca="false">IF(D$4=0,0,D29/D$4)</f>
        <v>0</v>
      </c>
      <c r="E77" s="29" t="n">
        <f aca="false">IF(E$4=0,0,E29/E$4)</f>
        <v>0</v>
      </c>
      <c r="F77" s="29" t="n">
        <f aca="false">IF(F$4=0,0,F29/F$4)</f>
        <v>0</v>
      </c>
      <c r="G77" s="29" t="n">
        <f aca="false">IF(G$4=0,0,G29/G$4)</f>
        <v>0</v>
      </c>
      <c r="H77" s="29" t="n">
        <f aca="false">IF(H$4=0,0,H29/H$4)</f>
        <v>0</v>
      </c>
    </row>
    <row r="78" customFormat="false" ht="15" hidden="false" customHeight="false" outlineLevel="0" collapsed="false">
      <c r="A78" s="26" t="s">
        <v>68</v>
      </c>
      <c r="B78" s="30" t="n">
        <f aca="false">IF(B$4=0,0,B30/B$4)</f>
        <v>0.000497967610813601</v>
      </c>
      <c r="C78" s="30" t="n">
        <f aca="false">IF(C$4=0,0,C30/C$4)</f>
        <v>0.00051802137708178</v>
      </c>
      <c r="D78" s="30" t="n">
        <f aca="false">IF(D$4=0,0,D30/D$4)</f>
        <v>0.00030497528830313</v>
      </c>
      <c r="E78" s="30" t="n">
        <f aca="false">IF(E$4=0,0,E30/E$4)</f>
        <v>0.000368611141512532</v>
      </c>
      <c r="F78" s="30" t="n">
        <f aca="false">IF(F$4=0,0,F30/F$4)</f>
        <v>0.000215436913831305</v>
      </c>
      <c r="G78" s="30" t="n">
        <f aca="false">IF(G$4=0,0,G30/G$4)</f>
        <v>0.000214285714285714</v>
      </c>
      <c r="H78" s="30" t="n">
        <f aca="false">IF(H$4=0,0,H30/H$4)</f>
        <v>0.000342584408697189</v>
      </c>
    </row>
    <row r="79" customFormat="false" ht="15" hidden="false" customHeight="false" outlineLevel="0" collapsed="false">
      <c r="A79" s="24" t="s">
        <v>69</v>
      </c>
      <c r="B79" s="29" t="n">
        <f aca="false">IF(B$4=0,0,B31/B$4)</f>
        <v>0.000214594489967095</v>
      </c>
      <c r="C79" s="29" t="n">
        <f aca="false">IF(C$4=0,0,C31/C$4)</f>
        <v>9.47883006048554E-005</v>
      </c>
      <c r="D79" s="29" t="n">
        <f aca="false">IF(D$4=0,0,D31/D$4)</f>
        <v>0.000177924217462932</v>
      </c>
      <c r="E79" s="29" t="n">
        <f aca="false">IF(E$4=0,0,E31/E$4)</f>
        <v>0.000318047499179162</v>
      </c>
      <c r="F79" s="29" t="n">
        <f aca="false">IF(F$4=0,0,F31/F$4)</f>
        <v>0.000116793638267521</v>
      </c>
      <c r="G79" s="29" t="n">
        <f aca="false">IF(G$4=0,0,G31/G$4)</f>
        <v>0.000142857142857143</v>
      </c>
      <c r="H79" s="29" t="n">
        <f aca="false">IF(H$4=0,0,H31/H$4)</f>
        <v>0.000164138825054505</v>
      </c>
    </row>
    <row r="80" customFormat="false" ht="15" hidden="false" customHeight="false" outlineLevel="0" collapsed="false">
      <c r="A80" s="26" t="s">
        <v>70</v>
      </c>
      <c r="B80" s="30" t="n">
        <f aca="false">IF(B$4=0,0,B32/B$4)</f>
        <v>5.40680043873798E-005</v>
      </c>
      <c r="C80" s="30" t="n">
        <f aca="false">IF(C$4=0,0,C32/C$4)</f>
        <v>0.000152290993454304</v>
      </c>
      <c r="D80" s="30" t="n">
        <f aca="false">IF(D$4=0,0,D32/D$4)</f>
        <v>0.000124283360790774</v>
      </c>
      <c r="E80" s="30" t="n">
        <f aca="false">IF(E$4=0,0,E32/E$4)</f>
        <v>0.000117106271204991</v>
      </c>
      <c r="F80" s="30" t="n">
        <f aca="false">IF(F$4=0,0,F32/F$4)</f>
        <v>0.000105442073633411</v>
      </c>
      <c r="G80" s="30" t="n">
        <f aca="false">IF(G$4=0,0,G32/G$4)</f>
        <v>7.14285714285714E-005</v>
      </c>
      <c r="H80" s="30" t="n">
        <f aca="false">IF(H$4=0,0,H32/H$4)</f>
        <v>0.000107336043839491</v>
      </c>
    </row>
    <row r="81" customFormat="false" ht="15" hidden="false" customHeight="false" outlineLevel="0" collapsed="false">
      <c r="A81" s="24" t="s">
        <v>71</v>
      </c>
      <c r="B81" s="29" t="n">
        <f aca="false">IF(B$4=0,0,B33/B$4)</f>
        <v>5.23904768049552E-005</v>
      </c>
      <c r="C81" s="29" t="n">
        <f aca="false">IF(C$4=0,0,C33/C$4)</f>
        <v>0</v>
      </c>
      <c r="D81" s="29" t="n">
        <f aca="false">IF(D$4=0,0,D33/D$4)</f>
        <v>6.56342668863262E-005</v>
      </c>
      <c r="E81" s="29" t="n">
        <f aca="false">IF(E$4=0,0,E33/E$4)</f>
        <v>1.22578526868775E-005</v>
      </c>
      <c r="F81" s="29" t="n">
        <f aca="false">IF(F$4=0,0,F33/F$4)</f>
        <v>0</v>
      </c>
      <c r="G81" s="29" t="n">
        <f aca="false">IF(G$4=0,0,G33/G$4)</f>
        <v>0</v>
      </c>
      <c r="H81" s="29" t="n">
        <f aca="false">IF(H$4=0,0,H33/H$4)</f>
        <v>2.26268340109599E-005</v>
      </c>
    </row>
    <row r="82" customFormat="false" ht="15" hidden="false" customHeight="false" outlineLevel="0" collapsed="false">
      <c r="A82" s="26" t="s">
        <v>72</v>
      </c>
      <c r="B82" s="30" t="n">
        <f aca="false">IF(B$4=0,0,B34/B$4)</f>
        <v>0.000302600167752758</v>
      </c>
      <c r="C82" s="30" t="n">
        <f aca="false">IF(C$4=0,0,C34/C$4)</f>
        <v>0.000280387770320656</v>
      </c>
      <c r="D82" s="30" t="n">
        <f aca="false">IF(D$4=0,0,D34/D$4)</f>
        <v>0.00050662273476112</v>
      </c>
      <c r="E82" s="30" t="n">
        <f aca="false">IF(E$4=0,0,E34/E$4)</f>
        <v>0.000562985662690161</v>
      </c>
      <c r="F82" s="30" t="n">
        <f aca="false">IF(F$4=0,0,F34/F$4)</f>
        <v>0.000186056393601845</v>
      </c>
      <c r="G82" s="30" t="n">
        <f aca="false">IF(G$4=0,0,G34/G$4)</f>
        <v>0.000428571428571429</v>
      </c>
      <c r="H82" s="30" t="n">
        <f aca="false">IF(H$4=0,0,H34/H$4)</f>
        <v>0.000318755524129397</v>
      </c>
    </row>
    <row r="83" customFormat="false" ht="15" hidden="false" customHeight="false" outlineLevel="0" collapsed="false">
      <c r="A83" s="24" t="s">
        <v>73</v>
      </c>
      <c r="B83" s="29" t="n">
        <f aca="false">IF(B$4=0,0,B35/B$4)</f>
        <v>0.000365571972385315</v>
      </c>
      <c r="C83" s="29" t="n">
        <f aca="false">IF(C$4=0,0,C35/C$4)</f>
        <v>0.000321981937194465</v>
      </c>
      <c r="D83" s="29" t="n">
        <f aca="false">IF(D$4=0,0,D35/D$4)</f>
        <v>0.000393146622734761</v>
      </c>
      <c r="E83" s="29" t="n">
        <f aca="false">IF(E$4=0,0,E35/E$4)</f>
        <v>0.00095020247345956</v>
      </c>
      <c r="F83" s="29" t="n">
        <f aca="false">IF(F$4=0,0,F35/F$4)</f>
        <v>9.59116156250949E-005</v>
      </c>
      <c r="G83" s="29" t="n">
        <f aca="false">IF(G$4=0,0,G35/G$4)</f>
        <v>0.000571428571428572</v>
      </c>
      <c r="H83" s="29" t="n">
        <f aca="false">IF(H$4=0,0,H35/H$4)</f>
        <v>0.00032262094160627</v>
      </c>
    </row>
    <row r="84" customFormat="false" ht="15" hidden="false" customHeight="false" outlineLevel="0" collapsed="false">
      <c r="A84" s="26" t="s">
        <v>74</v>
      </c>
      <c r="B84" s="30" t="n">
        <f aca="false">IF(B$4=0,0,B36/B$4)</f>
        <v>0</v>
      </c>
      <c r="C84" s="30" t="n">
        <f aca="false">IF(C$4=0,0,C36/C$4)</f>
        <v>0.00123357361836109</v>
      </c>
      <c r="D84" s="30" t="n">
        <f aca="false">IF(D$4=0,0,D36/D$4)</f>
        <v>0.0011761449752883</v>
      </c>
      <c r="E84" s="30" t="n">
        <f aca="false">IF(E$4=0,0,E36/E$4)</f>
        <v>0.00277049359746087</v>
      </c>
      <c r="F84" s="30" t="n">
        <f aca="false">IF(F$4=0,0,F36/F$4)</f>
        <v>0.000246213615807206</v>
      </c>
      <c r="G84" s="30" t="n">
        <f aca="false">IF(G$4=0,0,G36/G$4)</f>
        <v>0.00114285714285714</v>
      </c>
      <c r="H84" s="30" t="n">
        <f aca="false">IF(H$4=0,0,H36/H$4)</f>
        <v>0.000780083672146603</v>
      </c>
    </row>
    <row r="85" customFormat="false" ht="15" hidden="false" customHeight="false" outlineLevel="0" collapsed="false">
      <c r="A85" s="24" t="s">
        <v>75</v>
      </c>
      <c r="B85" s="29" t="n">
        <f aca="false">IF(B$4=0,0,B37/B$4)</f>
        <v>4.98096651396864E-005</v>
      </c>
      <c r="C85" s="29" t="n">
        <f aca="false">IF(C$4=0,0,C37/C$4)</f>
        <v>5.17027094208302E-005</v>
      </c>
      <c r="D85" s="29" t="n">
        <f aca="false">IF(D$4=0,0,D37/D$4)</f>
        <v>3.04448105436573E-005</v>
      </c>
      <c r="E85" s="29" t="n">
        <f aca="false">IF(E$4=0,0,E37/E$4)</f>
        <v>3.67735580606326E-005</v>
      </c>
      <c r="F85" s="29" t="n">
        <f aca="false">IF(F$4=0,0,F37/F$4)</f>
        <v>2.15497617385498E-005</v>
      </c>
      <c r="G85" s="29" t="n">
        <f aca="false">IF(G$4=0,0,G37/G$4)</f>
        <v>0</v>
      </c>
      <c r="H85" s="29" t="n">
        <f aca="false">IF(H$4=0,0,H37/H$4)</f>
        <v>3.42230864415768E-005</v>
      </c>
    </row>
    <row r="86" customFormat="false" ht="15" hidden="false" customHeight="false" outlineLevel="0" collapsed="false">
      <c r="A86" s="26" t="s">
        <v>76</v>
      </c>
      <c r="B86" s="30" t="n">
        <f aca="false">IF(B$4=0,0,B38/B$4)</f>
        <v>0.00400864571907865</v>
      </c>
      <c r="C86" s="30" t="n">
        <f aca="false">IF(C$4=0,0,C38/C$4)</f>
        <v>0.00126969922943077</v>
      </c>
      <c r="D86" s="30" t="n">
        <f aca="false">IF(D$4=0,0,D38/D$4)</f>
        <v>0.000944843492586491</v>
      </c>
      <c r="E86" s="30" t="n">
        <f aca="false">IF(E$4=0,0,E38/E$4)</f>
        <v>0.000889132100251724</v>
      </c>
      <c r="F86" s="30" t="n">
        <f aca="false">IF(F$4=0,0,F38/F$4)</f>
        <v>0.000590524175190458</v>
      </c>
      <c r="G86" s="30" t="n">
        <f aca="false">IF(G$4=0,0,G38/G$4)</f>
        <v>0.001</v>
      </c>
      <c r="H86" s="30" t="n">
        <f aca="false">IF(H$4=0,0,H38/H$4)</f>
        <v>0.00140710624005657</v>
      </c>
    </row>
    <row r="87" customFormat="false" ht="15" hidden="false" customHeight="false" outlineLevel="0" collapsed="false">
      <c r="A87" s="17" t="s">
        <v>16</v>
      </c>
      <c r="B87" s="19" t="n">
        <f aca="false">IF(B$4=0,0,B39/B$4)</f>
        <v>0.124842893089877</v>
      </c>
      <c r="C87" s="19" t="n">
        <f aca="false">IF(C$4=0,0,C39/C$4)</f>
        <v>0.106437153036706</v>
      </c>
      <c r="D87" s="19" t="n">
        <f aca="false">IF(D$4=0,0,D39/D$4)</f>
        <v>0.112628797364086</v>
      </c>
      <c r="E87" s="19" t="n">
        <f aca="false">IF(E$4=0,0,E39/E$4)</f>
        <v>0.161427602057568</v>
      </c>
      <c r="F87" s="19" t="n">
        <f aca="false">IF(F$4=0,0,F39/F$4)</f>
        <v>0.0309631832943819</v>
      </c>
      <c r="G87" s="19" t="n">
        <f aca="false">IF(G$4=0,0,G39/G$4)</f>
        <v>0.420785714285714</v>
      </c>
      <c r="H87" s="19" t="n">
        <f aca="false">IF(H$4=0,0,H39/H$4)</f>
        <v>0.0876266808084379</v>
      </c>
    </row>
    <row r="88" customFormat="false" ht="15" hidden="false" customHeight="false" outlineLevel="0" collapsed="false">
      <c r="A88" s="17" t="s">
        <v>17</v>
      </c>
      <c r="B88" s="19" t="n">
        <f aca="false">IF(B$4=0,0,B40/B$4)</f>
        <v>-0.000485450674237048</v>
      </c>
      <c r="C88" s="19" t="n">
        <f aca="false">IF(C$4=0,0,C40/C$4)</f>
        <v>0.00475963211533681</v>
      </c>
      <c r="D88" s="19" t="n">
        <f aca="false">IF(D$4=0,0,D40/D$4)</f>
        <v>0.00229245469522241</v>
      </c>
      <c r="E88" s="19" t="n">
        <f aca="false">IF(E$4=0,0,E40/E$4)</f>
        <v>0.00455795118747948</v>
      </c>
      <c r="F88" s="19" t="n">
        <f aca="false">IF(F$4=0,0,F40/F$4)</f>
        <v>-0.00344183081919446</v>
      </c>
      <c r="G88" s="19" t="n">
        <f aca="false">IF(G$4=0,0,G40/G$4)</f>
        <v>-0.0102142857142857</v>
      </c>
      <c r="H88" s="19" t="n">
        <f aca="false">IF(H$4=0,0,H40/H$4)</f>
        <v>0.000149313534853574</v>
      </c>
    </row>
    <row r="89" customFormat="false" ht="15" hidden="false" customHeight="false" outlineLevel="0" collapsed="false">
      <c r="A89" s="24" t="s">
        <v>77</v>
      </c>
      <c r="B89" s="29" t="n">
        <f aca="false">IF(B$4=0,0,B41/B$4)</f>
        <v>0</v>
      </c>
      <c r="C89" s="29" t="n">
        <f aca="false">IF(C$4=0,0,C41/C$4)</f>
        <v>0.00904068274090645</v>
      </c>
      <c r="D89" s="29" t="n">
        <f aca="false">IF(D$4=0,0,D41/D$4)</f>
        <v>0.0045361449752883</v>
      </c>
      <c r="E89" s="29" t="n">
        <f aca="false">IF(E$4=0,0,E41/E$4)</f>
        <v>0.00541293641238919</v>
      </c>
      <c r="F89" s="29" t="n">
        <f aca="false">IF(F$4=0,0,F41/F$4)</f>
        <v>0.00234273226697423</v>
      </c>
      <c r="G89" s="29" t="n">
        <f aca="false">IF(G$4=0,0,G41/G$4)</f>
        <v>0.000285714285714286</v>
      </c>
      <c r="H89" s="29" t="n">
        <f aca="false">IF(H$4=0,0,H41/H$4)</f>
        <v>0.00358965293736374</v>
      </c>
    </row>
    <row r="90" customFormat="false" ht="15" hidden="false" customHeight="false" outlineLevel="0" collapsed="false">
      <c r="A90" s="26" t="s">
        <v>78</v>
      </c>
      <c r="B90" s="30" t="n">
        <f aca="false">IF(B$4=0,0,B42/B$4)</f>
        <v>0.000344280276146848</v>
      </c>
      <c r="C90" s="30" t="n">
        <f aca="false">IF(C$4=0,0,C42/C$4)</f>
        <v>0.000748032148479576</v>
      </c>
      <c r="D90" s="30" t="n">
        <f aca="false">IF(D$4=0,0,D42/D$4)</f>
        <v>0.000160395387149918</v>
      </c>
      <c r="E90" s="30" t="n">
        <f aca="false">IF(E$4=0,0,E42/E$4)</f>
        <v>0.000295282915617818</v>
      </c>
      <c r="F90" s="30" t="n">
        <f aca="false">IF(F$4=0,0,F42/F$4)</f>
        <v>3.33262512520108E-005</v>
      </c>
      <c r="G90" s="30" t="n">
        <f aca="false">IF(G$4=0,0,G42/G$4)</f>
        <v>7.14285714285714E-005</v>
      </c>
      <c r="H90" s="30" t="n">
        <f aca="false">IF(H$4=0,0,H42/H$4)</f>
        <v>0.000242719934005067</v>
      </c>
    </row>
    <row r="91" customFormat="false" ht="15" hidden="false" customHeight="false" outlineLevel="0" collapsed="false">
      <c r="A91" s="24" t="s">
        <v>79</v>
      </c>
      <c r="B91" s="29" t="n">
        <f aca="false">IF(B$4=0,0,B43/B$4)</f>
        <v>1.16136524937093E-006</v>
      </c>
      <c r="C91" s="29" t="n">
        <f aca="false">IF(C$4=0,0,C43/C$4)</f>
        <v>1.20971082939763E-005</v>
      </c>
      <c r="D91" s="29" t="n">
        <f aca="false">IF(D$4=0,0,D43/D$4)</f>
        <v>3.82207578253707E-006</v>
      </c>
      <c r="E91" s="29" t="n">
        <f aca="false">IF(E$4=0,0,E43/E$4)</f>
        <v>2.99879610375397E-005</v>
      </c>
      <c r="F91" s="29" t="n">
        <f aca="false">IF(F$4=0,0,F43/F$4)</f>
        <v>5.35405347983124E-005</v>
      </c>
      <c r="G91" s="29" t="n">
        <f aca="false">IF(G$4=0,0,G43/G$4)</f>
        <v>0</v>
      </c>
      <c r="H91" s="29" t="n">
        <f aca="false">IF(H$4=0,0,H43/H$4)</f>
        <v>2.66336692004007E-005</v>
      </c>
    </row>
    <row r="92" customFormat="false" ht="15" hidden="false" customHeight="false" outlineLevel="0" collapsed="false">
      <c r="A92" s="26" t="s">
        <v>80</v>
      </c>
      <c r="B92" s="30" t="n">
        <f aca="false">IF(B$4=0,0,B44/B$4)</f>
        <v>0</v>
      </c>
      <c r="C92" s="30" t="n">
        <f aca="false">IF(C$4=0,0,C44/C$4)</f>
        <v>0</v>
      </c>
      <c r="D92" s="30" t="n">
        <f aca="false">IF(D$4=0,0,D44/D$4)</f>
        <v>0</v>
      </c>
      <c r="E92" s="30" t="n">
        <f aca="false">IF(E$4=0,0,E44/E$4)</f>
        <v>0</v>
      </c>
      <c r="F92" s="30" t="n">
        <f aca="false">IF(F$4=0,0,F44/F$4)</f>
        <v>0</v>
      </c>
      <c r="G92" s="30" t="n">
        <f aca="false">IF(G$4=0,0,G44/G$4)</f>
        <v>0</v>
      </c>
      <c r="H92" s="30" t="n">
        <f aca="false">IF(H$4=0,0,H44/H$4)</f>
        <v>0</v>
      </c>
    </row>
    <row r="93" customFormat="false" ht="15" hidden="false" customHeight="false" outlineLevel="0" collapsed="false">
      <c r="A93" s="24" t="s">
        <v>81</v>
      </c>
      <c r="B93" s="29" t="n">
        <f aca="false">IF(B$4=0,0,B45/B$4)</f>
        <v>0.00083102135621653</v>
      </c>
      <c r="C93" s="29" t="n">
        <f aca="false">IF(C$4=0,0,C45/C$4)</f>
        <v>0.00504134559615544</v>
      </c>
      <c r="D93" s="29" t="n">
        <f aca="false">IF(D$4=0,0,D45/D$4)</f>
        <v>0.00240790774299835</v>
      </c>
      <c r="E93" s="29" t="n">
        <f aca="false">IF(E$4=0,0,E45/E$4)</f>
        <v>0.00118025610156507</v>
      </c>
      <c r="F93" s="29" t="n">
        <f aca="false">IF(F$4=0,0,F45/F$4)</f>
        <v>0.00587142987221902</v>
      </c>
      <c r="G93" s="29" t="n">
        <f aca="false">IF(G$4=0,0,G45/G$4)</f>
        <v>0.0105714285714286</v>
      </c>
      <c r="H93" s="29" t="n">
        <f aca="false">IF(H$4=0,0,H45/H$4)</f>
        <v>0.00370974014495316</v>
      </c>
    </row>
    <row r="94" customFormat="false" ht="15" hidden="false" customHeight="false" outlineLevel="0" collapsed="false">
      <c r="A94" s="17" t="s">
        <v>82</v>
      </c>
      <c r="B94" s="19" t="n">
        <f aca="false">IF(B$4=0,0,B46/B$4)</f>
        <v>0.124357313375056</v>
      </c>
      <c r="C94" s="19" t="n">
        <f aca="false">IF(C$4=0,0,C46/C$4)</f>
        <v>0.111196785152042</v>
      </c>
      <c r="D94" s="19" t="n">
        <f aca="false">IF(D$4=0,0,D46/D$4)</f>
        <v>0.114921252059308</v>
      </c>
      <c r="E94" s="19" t="n">
        <f aca="false">IF(E$4=0,0,E46/E$4)</f>
        <v>0.165985553245048</v>
      </c>
      <c r="F94" s="19" t="n">
        <f aca="false">IF(F$4=0,0,F46/F$4)</f>
        <v>0.0275213524751874</v>
      </c>
      <c r="G94" s="19" t="n">
        <f aca="false">IF(G$4=0,0,G46/G$4)</f>
        <v>0.410571428571429</v>
      </c>
      <c r="H94" s="19" t="n">
        <f aca="false">IF(H$4=0,0,H46/H$4)</f>
        <v>0.0877759707736728</v>
      </c>
    </row>
    <row r="95" customFormat="false" ht="15" hidden="false" customHeight="false" outlineLevel="0" collapsed="false">
      <c r="A95" s="24" t="s">
        <v>83</v>
      </c>
      <c r="B95" s="29" t="n">
        <f aca="false">IF(B$4=0,0,B47/B$4)</f>
        <v>0</v>
      </c>
      <c r="C95" s="29" t="n">
        <f aca="false">IF(C$4=0,0,C47/C$4)</f>
        <v>0</v>
      </c>
      <c r="D95" s="29" t="n">
        <f aca="false">IF(D$4=0,0,D47/D$4)</f>
        <v>0</v>
      </c>
      <c r="E95" s="29" t="n">
        <f aca="false">IF(E$4=0,0,E47/E$4)</f>
        <v>0</v>
      </c>
      <c r="F95" s="29" t="n">
        <f aca="false">IF(F$4=0,0,F47/F$4)</f>
        <v>0</v>
      </c>
      <c r="G95" s="29" t="n">
        <f aca="false">IF(G$4=0,0,G47/G$4)</f>
        <v>0</v>
      </c>
      <c r="H95" s="29" t="n">
        <f aca="false">IF(H$4=0,0,H47/H$4)</f>
        <v>0</v>
      </c>
    </row>
    <row r="96" customFormat="false" ht="15" hidden="false" customHeight="false" outlineLevel="0" collapsed="false">
      <c r="A96" s="17" t="s">
        <v>18</v>
      </c>
      <c r="B96" s="19" t="n">
        <f aca="false">IF(B$4=0,0,B48/B$4)</f>
        <v>0.124357313375056</v>
      </c>
      <c r="C96" s="19" t="n">
        <f aca="false">IF(C$4=0,0,C48/C$4)</f>
        <v>0.111196785152042</v>
      </c>
      <c r="D96" s="19" t="n">
        <f aca="false">IF(D$4=0,0,D48/D$4)</f>
        <v>0.114921252059308</v>
      </c>
      <c r="E96" s="19" t="n">
        <f aca="false">IF(E$4=0,0,E48/E$4)</f>
        <v>0.165985553245048</v>
      </c>
      <c r="F96" s="19" t="n">
        <f aca="false">IF(F$4=0,0,F48/F$4)</f>
        <v>0.0275213524751874</v>
      </c>
      <c r="G96" s="19" t="n">
        <f aca="false">IF(G$4=0,0,G48/G$4)</f>
        <v>0.410571428571429</v>
      </c>
      <c r="H96" s="19" t="n">
        <f aca="false">IF(H$4=0,0,H48/H$4)</f>
        <v>0.0877759707736728</v>
      </c>
    </row>
  </sheetData>
  <mergeCells count="3">
    <mergeCell ref="A1:H1"/>
    <mergeCell ref="A2:H2"/>
    <mergeCell ref="A50:H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8" min="2" style="0" width="16"/>
  </cols>
  <sheetData>
    <row r="1" customFormat="false" ht="24" hidden="false" customHeight="true" outlineLevel="0" collapsed="false">
      <c r="A1" s="21" t="s">
        <v>90</v>
      </c>
      <c r="B1" s="21"/>
      <c r="C1" s="21"/>
      <c r="D1" s="21"/>
      <c r="E1" s="21"/>
      <c r="F1" s="21"/>
      <c r="G1" s="21"/>
      <c r="H1" s="21"/>
    </row>
    <row r="2" customFormat="false" ht="13.5" hidden="false" customHeight="true" outlineLevel="0" collapsed="false">
      <c r="A2" s="2" t="s">
        <v>39</v>
      </c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22" t="s">
        <v>3</v>
      </c>
      <c r="B3" s="23" t="s">
        <v>4</v>
      </c>
      <c r="C3" s="23" t="s">
        <v>5</v>
      </c>
      <c r="D3" s="23" t="s">
        <v>6</v>
      </c>
      <c r="E3" s="23" t="s">
        <v>7</v>
      </c>
      <c r="F3" s="23" t="s">
        <v>8</v>
      </c>
      <c r="G3" s="23" t="s">
        <v>9</v>
      </c>
      <c r="H3" s="23" t="s">
        <v>10</v>
      </c>
    </row>
    <row r="4" customFormat="false" ht="15" hidden="false" customHeight="false" outlineLevel="0" collapsed="false">
      <c r="A4" s="17" t="s">
        <v>12</v>
      </c>
      <c r="B4" s="18" t="n">
        <v>0</v>
      </c>
      <c r="C4" s="18" t="n">
        <v>0</v>
      </c>
      <c r="D4" s="18" t="n">
        <v>0</v>
      </c>
      <c r="E4" s="18" t="n">
        <v>92286</v>
      </c>
      <c r="F4" s="18" t="n">
        <v>117262</v>
      </c>
      <c r="G4" s="18" t="n">
        <v>10352</v>
      </c>
      <c r="H4" s="18" t="n">
        <f aca="false">SUM(B4:G4)</f>
        <v>219900</v>
      </c>
    </row>
    <row r="5" customFormat="false" ht="15" hidden="false" customHeight="false" outlineLevel="0" collapsed="false">
      <c r="A5" s="24" t="s">
        <v>33</v>
      </c>
      <c r="B5" s="25" t="n">
        <v>0</v>
      </c>
      <c r="C5" s="25" t="n">
        <v>0</v>
      </c>
      <c r="D5" s="25" t="n">
        <v>0</v>
      </c>
      <c r="E5" s="25" t="n">
        <v>92286</v>
      </c>
      <c r="F5" s="25" t="n">
        <v>117262</v>
      </c>
      <c r="G5" s="25" t="n">
        <v>10352</v>
      </c>
      <c r="H5" s="25" t="n">
        <f aca="false">SUM(B5:G5)</f>
        <v>219900</v>
      </c>
    </row>
    <row r="6" customFormat="false" ht="15" hidden="false" customHeight="false" outlineLevel="0" collapsed="false">
      <c r="A6" s="26" t="s">
        <v>40</v>
      </c>
      <c r="B6" s="27" t="n">
        <v>0</v>
      </c>
      <c r="C6" s="27" t="n">
        <v>0</v>
      </c>
      <c r="D6" s="27" t="n">
        <v>0</v>
      </c>
      <c r="E6" s="27" t="n">
        <v>0</v>
      </c>
      <c r="F6" s="27" t="n">
        <v>0</v>
      </c>
      <c r="G6" s="27" t="n">
        <v>0</v>
      </c>
      <c r="H6" s="27" t="n">
        <f aca="false">SUM(B6:G6)</f>
        <v>0</v>
      </c>
    </row>
    <row r="7" customFormat="false" ht="15" hidden="false" customHeight="false" outlineLevel="0" collapsed="false">
      <c r="A7" s="17" t="s">
        <v>13</v>
      </c>
      <c r="B7" s="18" t="n">
        <v>0</v>
      </c>
      <c r="C7" s="18" t="n">
        <v>0</v>
      </c>
      <c r="D7" s="18" t="n">
        <v>0</v>
      </c>
      <c r="E7" s="18" t="n">
        <v>73726.31</v>
      </c>
      <c r="F7" s="18" t="n">
        <v>89664.25</v>
      </c>
      <c r="G7" s="18" t="n">
        <v>7926.12</v>
      </c>
      <c r="H7" s="18" t="n">
        <f aca="false">SUM(B7:G7)</f>
        <v>171316.68</v>
      </c>
    </row>
    <row r="8" customFormat="false" ht="15" hidden="false" customHeight="false" outlineLevel="0" collapsed="false">
      <c r="A8" s="26" t="s">
        <v>48</v>
      </c>
      <c r="B8" s="27" t="n">
        <v>0</v>
      </c>
      <c r="C8" s="27" t="n">
        <v>0</v>
      </c>
      <c r="D8" s="27" t="n">
        <v>0</v>
      </c>
      <c r="E8" s="27" t="n">
        <v>73726.31</v>
      </c>
      <c r="F8" s="27" t="n">
        <v>89664.25</v>
      </c>
      <c r="G8" s="27" t="n">
        <v>7926.12</v>
      </c>
      <c r="H8" s="27" t="n">
        <f aca="false">SUM(B8:G8)</f>
        <v>171316.68</v>
      </c>
    </row>
    <row r="9" customFormat="false" ht="15" hidden="false" customHeight="false" outlineLevel="0" collapsed="false">
      <c r="A9" s="24" t="s">
        <v>50</v>
      </c>
      <c r="B9" s="25" t="n">
        <v>0</v>
      </c>
      <c r="C9" s="25" t="n">
        <v>0</v>
      </c>
      <c r="D9" s="25" t="n">
        <v>0</v>
      </c>
      <c r="E9" s="25" t="n">
        <v>0</v>
      </c>
      <c r="F9" s="25" t="n">
        <v>0</v>
      </c>
      <c r="G9" s="25" t="n">
        <v>0</v>
      </c>
      <c r="H9" s="25" t="n">
        <f aca="false">SUM(B9:G9)</f>
        <v>0</v>
      </c>
    </row>
    <row r="10" customFormat="false" ht="15" hidden="false" customHeight="false" outlineLevel="0" collapsed="false">
      <c r="A10" s="17" t="s">
        <v>14</v>
      </c>
      <c r="B10" s="18" t="n">
        <v>0</v>
      </c>
      <c r="C10" s="18" t="n">
        <v>0</v>
      </c>
      <c r="D10" s="18" t="n">
        <v>0</v>
      </c>
      <c r="E10" s="18" t="n">
        <v>18559.69</v>
      </c>
      <c r="F10" s="18" t="n">
        <v>27597.75</v>
      </c>
      <c r="G10" s="18" t="n">
        <v>2425.88</v>
      </c>
      <c r="H10" s="18" t="n">
        <f aca="false">SUM(B10:G10)</f>
        <v>48583.32</v>
      </c>
    </row>
    <row r="11" customFormat="false" ht="15" hidden="false" customHeight="false" outlineLevel="0" collapsed="false">
      <c r="A11" s="17" t="s">
        <v>15</v>
      </c>
      <c r="B11" s="18" t="n">
        <v>0</v>
      </c>
      <c r="C11" s="18" t="n">
        <v>0</v>
      </c>
      <c r="D11" s="18" t="n">
        <v>0</v>
      </c>
      <c r="E11" s="18" t="n">
        <v>6711.68</v>
      </c>
      <c r="F11" s="18" t="n">
        <v>4587.48</v>
      </c>
      <c r="G11" s="18" t="n">
        <v>479.16</v>
      </c>
      <c r="H11" s="18" t="n">
        <f aca="false">SUM(B11:G11)</f>
        <v>11778.32</v>
      </c>
    </row>
    <row r="12" customFormat="false" ht="15" hidden="false" customHeight="false" outlineLevel="0" collapsed="false">
      <c r="A12" s="26" t="s">
        <v>51</v>
      </c>
      <c r="B12" s="27" t="n">
        <v>0</v>
      </c>
      <c r="C12" s="27" t="n">
        <v>0</v>
      </c>
      <c r="D12" s="27" t="n">
        <v>0</v>
      </c>
      <c r="E12" s="27" t="n">
        <v>2297.48</v>
      </c>
      <c r="F12" s="27" t="n">
        <v>2064.33</v>
      </c>
      <c r="G12" s="27" t="n">
        <v>193.17</v>
      </c>
      <c r="H12" s="27" t="n">
        <f aca="false">SUM(B12:G12)</f>
        <v>4554.98</v>
      </c>
    </row>
    <row r="13" customFormat="false" ht="15" hidden="false" customHeight="false" outlineLevel="0" collapsed="false">
      <c r="A13" s="24" t="s">
        <v>52</v>
      </c>
      <c r="B13" s="25" t="n">
        <v>0</v>
      </c>
      <c r="C13" s="25" t="n">
        <v>0</v>
      </c>
      <c r="D13" s="25" t="n">
        <v>0</v>
      </c>
      <c r="E13" s="25" t="n">
        <v>0</v>
      </c>
      <c r="F13" s="25" t="n">
        <v>0</v>
      </c>
      <c r="G13" s="25" t="n">
        <v>0</v>
      </c>
      <c r="H13" s="25" t="n">
        <f aca="false">SUM(B13:G13)</f>
        <v>0</v>
      </c>
    </row>
    <row r="14" customFormat="false" ht="15" hidden="false" customHeight="false" outlineLevel="0" collapsed="false">
      <c r="A14" s="26" t="s">
        <v>53</v>
      </c>
      <c r="B14" s="27" t="n">
        <v>0</v>
      </c>
      <c r="C14" s="27" t="n">
        <v>0</v>
      </c>
      <c r="D14" s="27" t="n">
        <v>0</v>
      </c>
      <c r="E14" s="27" t="n">
        <v>44.28</v>
      </c>
      <c r="F14" s="27" t="n">
        <v>56.78</v>
      </c>
      <c r="G14" s="27" t="n">
        <v>5.41</v>
      </c>
      <c r="H14" s="27" t="n">
        <f aca="false">SUM(B14:G14)</f>
        <v>106.47</v>
      </c>
    </row>
    <row r="15" customFormat="false" ht="15" hidden="false" customHeight="false" outlineLevel="0" collapsed="false">
      <c r="A15" s="24" t="s">
        <v>54</v>
      </c>
      <c r="B15" s="25" t="n">
        <v>0</v>
      </c>
      <c r="C15" s="25" t="n">
        <v>0</v>
      </c>
      <c r="D15" s="25" t="n">
        <v>0</v>
      </c>
      <c r="E15" s="25" t="n">
        <v>172.49</v>
      </c>
      <c r="F15" s="25" t="n">
        <v>158.71</v>
      </c>
      <c r="G15" s="25" t="n">
        <v>14.94</v>
      </c>
      <c r="H15" s="25" t="n">
        <f aca="false">SUM(B15:G15)</f>
        <v>346.14</v>
      </c>
    </row>
    <row r="16" customFormat="false" ht="15" hidden="false" customHeight="false" outlineLevel="0" collapsed="false">
      <c r="A16" s="26" t="s">
        <v>55</v>
      </c>
      <c r="B16" s="27" t="n">
        <v>0</v>
      </c>
      <c r="C16" s="27" t="n">
        <v>0</v>
      </c>
      <c r="D16" s="27" t="n">
        <v>0</v>
      </c>
      <c r="E16" s="27" t="n">
        <v>637.76</v>
      </c>
      <c r="F16" s="27" t="n">
        <v>494.44</v>
      </c>
      <c r="G16" s="27" t="n">
        <v>67.94</v>
      </c>
      <c r="H16" s="27" t="n">
        <f aca="false">SUM(B16:G16)</f>
        <v>1200.14</v>
      </c>
    </row>
    <row r="17" customFormat="false" ht="15" hidden="false" customHeight="false" outlineLevel="0" collapsed="false">
      <c r="A17" s="24" t="s">
        <v>56</v>
      </c>
      <c r="B17" s="25" t="n">
        <v>0</v>
      </c>
      <c r="C17" s="25" t="n">
        <v>0</v>
      </c>
      <c r="D17" s="25" t="n">
        <v>0</v>
      </c>
      <c r="E17" s="25" t="n">
        <v>59.19</v>
      </c>
      <c r="F17" s="25" t="n">
        <v>42.66</v>
      </c>
      <c r="G17" s="25" t="n">
        <v>2.4</v>
      </c>
      <c r="H17" s="25" t="n">
        <f aca="false">SUM(B17:G17)</f>
        <v>104.25</v>
      </c>
    </row>
    <row r="18" customFormat="false" ht="15" hidden="false" customHeight="false" outlineLevel="0" collapsed="false">
      <c r="A18" s="26" t="s">
        <v>57</v>
      </c>
      <c r="B18" s="27" t="n">
        <v>0</v>
      </c>
      <c r="C18" s="27" t="n">
        <v>0</v>
      </c>
      <c r="D18" s="27" t="n">
        <v>0</v>
      </c>
      <c r="E18" s="27" t="n">
        <v>5.23</v>
      </c>
      <c r="F18" s="27" t="n">
        <v>8.29</v>
      </c>
      <c r="G18" s="27" t="n">
        <v>2.07</v>
      </c>
      <c r="H18" s="27" t="n">
        <f aca="false">SUM(B18:G18)</f>
        <v>15.59</v>
      </c>
    </row>
    <row r="19" customFormat="false" ht="15" hidden="false" customHeight="false" outlineLevel="0" collapsed="false">
      <c r="A19" s="24" t="s">
        <v>58</v>
      </c>
      <c r="B19" s="25" t="n">
        <v>0</v>
      </c>
      <c r="C19" s="25" t="n">
        <v>0</v>
      </c>
      <c r="D19" s="25" t="n">
        <v>0</v>
      </c>
      <c r="E19" s="25" t="n">
        <v>49.11</v>
      </c>
      <c r="F19" s="25" t="n">
        <v>29.15</v>
      </c>
      <c r="G19" s="25" t="n">
        <v>0.85</v>
      </c>
      <c r="H19" s="25" t="n">
        <f aca="false">SUM(B19:G19)</f>
        <v>79.11</v>
      </c>
    </row>
    <row r="20" customFormat="false" ht="15" hidden="false" customHeight="false" outlineLevel="0" collapsed="false">
      <c r="A20" s="26" t="s">
        <v>59</v>
      </c>
      <c r="B20" s="27" t="n">
        <v>0</v>
      </c>
      <c r="C20" s="27" t="n">
        <v>0</v>
      </c>
      <c r="D20" s="27" t="n">
        <v>0</v>
      </c>
      <c r="E20" s="27" t="n">
        <v>3.21</v>
      </c>
      <c r="F20" s="27" t="n">
        <v>7.11</v>
      </c>
      <c r="G20" s="27" t="n">
        <v>2.27</v>
      </c>
      <c r="H20" s="27" t="n">
        <f aca="false">SUM(B20:G20)</f>
        <v>12.59</v>
      </c>
    </row>
    <row r="21" customFormat="false" ht="15" hidden="false" customHeight="false" outlineLevel="0" collapsed="false">
      <c r="A21" s="24" t="s">
        <v>60</v>
      </c>
      <c r="B21" s="25" t="n">
        <v>0</v>
      </c>
      <c r="C21" s="25" t="n">
        <v>0</v>
      </c>
      <c r="D21" s="25" t="n">
        <v>0</v>
      </c>
      <c r="E21" s="25" t="n">
        <v>675.14</v>
      </c>
      <c r="F21" s="25" t="n">
        <v>501.32</v>
      </c>
      <c r="G21" s="25" t="n">
        <v>51.87</v>
      </c>
      <c r="H21" s="25" t="n">
        <f aca="false">SUM(B21:G21)</f>
        <v>1228.33</v>
      </c>
    </row>
    <row r="22" customFormat="false" ht="15" hidden="false" customHeight="false" outlineLevel="0" collapsed="false">
      <c r="A22" s="26" t="s">
        <v>61</v>
      </c>
      <c r="B22" s="27" t="n">
        <v>0</v>
      </c>
      <c r="C22" s="27" t="n">
        <v>0</v>
      </c>
      <c r="D22" s="27" t="n">
        <v>0</v>
      </c>
      <c r="E22" s="27" t="n">
        <v>795.52</v>
      </c>
      <c r="F22" s="27" t="n">
        <v>425.01</v>
      </c>
      <c r="G22" s="27" t="n">
        <v>44.94</v>
      </c>
      <c r="H22" s="27" t="n">
        <f aca="false">SUM(B22:G22)</f>
        <v>1265.47</v>
      </c>
    </row>
    <row r="23" customFormat="false" ht="15" hidden="false" customHeight="false" outlineLevel="0" collapsed="false">
      <c r="A23" s="24" t="s">
        <v>62</v>
      </c>
      <c r="B23" s="25" t="n">
        <v>0</v>
      </c>
      <c r="C23" s="25" t="n">
        <v>0</v>
      </c>
      <c r="D23" s="25" t="n">
        <v>0</v>
      </c>
      <c r="E23" s="25" t="n">
        <v>436.24</v>
      </c>
      <c r="F23" s="25" t="n">
        <v>536.37</v>
      </c>
      <c r="G23" s="25" t="n">
        <v>41.42</v>
      </c>
      <c r="H23" s="25" t="n">
        <f aca="false">SUM(B23:G23)</f>
        <v>1014.03</v>
      </c>
    </row>
    <row r="24" customFormat="false" ht="15" hidden="false" customHeight="false" outlineLevel="0" collapsed="false">
      <c r="A24" s="26" t="s">
        <v>63</v>
      </c>
      <c r="B24" s="27" t="n">
        <v>0</v>
      </c>
      <c r="C24" s="27" t="n">
        <v>0</v>
      </c>
      <c r="D24" s="27" t="n">
        <v>0</v>
      </c>
      <c r="E24" s="27" t="n">
        <v>31.11</v>
      </c>
      <c r="F24" s="27" t="n">
        <v>22.62</v>
      </c>
      <c r="G24" s="27" t="n">
        <v>2.62</v>
      </c>
      <c r="H24" s="27" t="n">
        <f aca="false">SUM(B24:G24)</f>
        <v>56.35</v>
      </c>
    </row>
    <row r="25" customFormat="false" ht="15" hidden="false" customHeight="false" outlineLevel="0" collapsed="false">
      <c r="A25" s="24" t="s">
        <v>64</v>
      </c>
      <c r="B25" s="25" t="n">
        <v>0</v>
      </c>
      <c r="C25" s="25" t="n">
        <v>0</v>
      </c>
      <c r="D25" s="25" t="n">
        <v>0</v>
      </c>
      <c r="E25" s="25" t="n">
        <v>29.76</v>
      </c>
      <c r="F25" s="25" t="n">
        <v>22.1</v>
      </c>
      <c r="G25" s="25" t="n">
        <v>1.97</v>
      </c>
      <c r="H25" s="25" t="n">
        <f aca="false">SUM(B25:G25)</f>
        <v>53.83</v>
      </c>
    </row>
    <row r="26" customFormat="false" ht="15" hidden="false" customHeight="false" outlineLevel="0" collapsed="false">
      <c r="A26" s="26" t="s">
        <v>65</v>
      </c>
      <c r="B26" s="27" t="n">
        <v>0</v>
      </c>
      <c r="C26" s="27" t="n">
        <v>0</v>
      </c>
      <c r="D26" s="27" t="n">
        <v>0</v>
      </c>
      <c r="E26" s="27" t="n">
        <v>82.35</v>
      </c>
      <c r="F26" s="27" t="n">
        <v>9.02</v>
      </c>
      <c r="G26" s="27" t="n">
        <v>0.54</v>
      </c>
      <c r="H26" s="27" t="n">
        <f aca="false">SUM(B26:G26)</f>
        <v>91.91</v>
      </c>
    </row>
    <row r="27" customFormat="false" ht="15" hidden="false" customHeight="false" outlineLevel="0" collapsed="false">
      <c r="A27" s="24" t="s">
        <v>66</v>
      </c>
      <c r="B27" s="25" t="n">
        <v>0</v>
      </c>
      <c r="C27" s="25" t="n">
        <v>0</v>
      </c>
      <c r="D27" s="25" t="n">
        <v>0</v>
      </c>
      <c r="E27" s="25" t="n">
        <v>788.12</v>
      </c>
      <c r="F27" s="25" t="n">
        <v>0</v>
      </c>
      <c r="G27" s="25" t="n">
        <v>0</v>
      </c>
      <c r="H27" s="25" t="n">
        <f aca="false">SUM(B27:G27)</f>
        <v>788.12</v>
      </c>
    </row>
    <row r="28" customFormat="false" ht="15" hidden="false" customHeight="false" outlineLevel="0" collapsed="false">
      <c r="A28" s="26" t="s">
        <v>67</v>
      </c>
      <c r="B28" s="27" t="n">
        <v>0</v>
      </c>
      <c r="C28" s="27" t="n">
        <v>0</v>
      </c>
      <c r="D28" s="27" t="n">
        <v>0</v>
      </c>
      <c r="E28" s="27" t="n">
        <v>0</v>
      </c>
      <c r="F28" s="27" t="n">
        <v>0</v>
      </c>
      <c r="G28" s="27" t="n">
        <v>0</v>
      </c>
      <c r="H28" s="27" t="n">
        <f aca="false">SUM(B28:G28)</f>
        <v>0</v>
      </c>
    </row>
    <row r="29" customFormat="false" ht="15" hidden="false" customHeight="false" outlineLevel="0" collapsed="false">
      <c r="A29" s="24" t="s">
        <v>68</v>
      </c>
      <c r="B29" s="25" t="n">
        <v>0</v>
      </c>
      <c r="C29" s="25" t="n">
        <v>0</v>
      </c>
      <c r="D29" s="25" t="n">
        <v>0</v>
      </c>
      <c r="E29" s="25" t="n">
        <v>34.02</v>
      </c>
      <c r="F29" s="25" t="n">
        <v>25.26</v>
      </c>
      <c r="G29" s="25" t="n">
        <v>2.25</v>
      </c>
      <c r="H29" s="25" t="n">
        <f aca="false">SUM(B29:G29)</f>
        <v>61.53</v>
      </c>
    </row>
    <row r="30" customFormat="false" ht="15" hidden="false" customHeight="false" outlineLevel="0" collapsed="false">
      <c r="A30" s="26" t="s">
        <v>69</v>
      </c>
      <c r="B30" s="27" t="n">
        <v>0</v>
      </c>
      <c r="C30" s="27" t="n">
        <v>0</v>
      </c>
      <c r="D30" s="27" t="n">
        <v>0</v>
      </c>
      <c r="E30" s="27" t="n">
        <v>29.35</v>
      </c>
      <c r="F30" s="27" t="n">
        <v>13.7</v>
      </c>
      <c r="G30" s="27" t="n">
        <v>1.44</v>
      </c>
      <c r="H30" s="27" t="n">
        <f aca="false">SUM(B30:G30)</f>
        <v>44.49</v>
      </c>
    </row>
    <row r="31" customFormat="false" ht="15" hidden="false" customHeight="false" outlineLevel="0" collapsed="false">
      <c r="A31" s="24" t="s">
        <v>70</v>
      </c>
      <c r="B31" s="25" t="n">
        <v>0</v>
      </c>
      <c r="C31" s="25" t="n">
        <v>0</v>
      </c>
      <c r="D31" s="25" t="n">
        <v>0</v>
      </c>
      <c r="E31" s="25" t="n">
        <v>10.82</v>
      </c>
      <c r="F31" s="25" t="n">
        <v>12.36</v>
      </c>
      <c r="G31" s="25" t="n">
        <v>0.73</v>
      </c>
      <c r="H31" s="25" t="n">
        <f aca="false">SUM(B31:G31)</f>
        <v>23.91</v>
      </c>
    </row>
    <row r="32" customFormat="false" ht="15" hidden="false" customHeight="false" outlineLevel="0" collapsed="false">
      <c r="A32" s="26" t="s">
        <v>71</v>
      </c>
      <c r="B32" s="27" t="n">
        <v>0</v>
      </c>
      <c r="C32" s="27" t="n">
        <v>0</v>
      </c>
      <c r="D32" s="27" t="n">
        <v>0</v>
      </c>
      <c r="E32" s="27" t="n">
        <v>1.13</v>
      </c>
      <c r="F32" s="27" t="n">
        <v>0</v>
      </c>
      <c r="G32" s="27" t="n">
        <v>0.04</v>
      </c>
      <c r="H32" s="27" t="n">
        <f aca="false">SUM(B32:G32)</f>
        <v>1.17</v>
      </c>
    </row>
    <row r="33" customFormat="false" ht="15" hidden="false" customHeight="false" outlineLevel="0" collapsed="false">
      <c r="A33" s="24" t="s">
        <v>72</v>
      </c>
      <c r="B33" s="25" t="n">
        <v>0</v>
      </c>
      <c r="C33" s="25" t="n">
        <v>0</v>
      </c>
      <c r="D33" s="25" t="n">
        <v>0</v>
      </c>
      <c r="E33" s="25" t="n">
        <v>51.95</v>
      </c>
      <c r="F33" s="25" t="n">
        <v>21.82</v>
      </c>
      <c r="G33" s="25" t="n">
        <v>4.24</v>
      </c>
      <c r="H33" s="25" t="n">
        <f aca="false">SUM(B33:G33)</f>
        <v>78.01</v>
      </c>
    </row>
    <row r="34" customFormat="false" ht="15" hidden="false" customHeight="false" outlineLevel="0" collapsed="false">
      <c r="A34" s="26" t="s">
        <v>73</v>
      </c>
      <c r="B34" s="27" t="n">
        <v>0</v>
      </c>
      <c r="C34" s="27" t="n">
        <v>0</v>
      </c>
      <c r="D34" s="27" t="n">
        <v>0</v>
      </c>
      <c r="E34" s="27" t="n">
        <v>87.7</v>
      </c>
      <c r="F34" s="27" t="n">
        <v>11.24</v>
      </c>
      <c r="G34" s="27" t="n">
        <v>5.58</v>
      </c>
      <c r="H34" s="27" t="n">
        <f aca="false">SUM(B34:G34)</f>
        <v>104.52</v>
      </c>
    </row>
    <row r="35" customFormat="false" ht="15" hidden="false" customHeight="false" outlineLevel="0" collapsed="false">
      <c r="A35" s="24" t="s">
        <v>74</v>
      </c>
      <c r="B35" s="25" t="n">
        <v>0</v>
      </c>
      <c r="C35" s="25" t="n">
        <v>0</v>
      </c>
      <c r="D35" s="25" t="n">
        <v>0</v>
      </c>
      <c r="E35" s="25" t="n">
        <v>255.67</v>
      </c>
      <c r="F35" s="25" t="n">
        <v>28.87</v>
      </c>
      <c r="G35" s="25" t="n">
        <v>11.53</v>
      </c>
      <c r="H35" s="25" t="n">
        <f aca="false">SUM(B35:G35)</f>
        <v>296.07</v>
      </c>
    </row>
    <row r="36" customFormat="false" ht="15" hidden="false" customHeight="false" outlineLevel="0" collapsed="false">
      <c r="A36" s="26" t="s">
        <v>75</v>
      </c>
      <c r="B36" s="27" t="n">
        <v>0</v>
      </c>
      <c r="C36" s="27" t="n">
        <v>0</v>
      </c>
      <c r="D36" s="27" t="n">
        <v>0</v>
      </c>
      <c r="E36" s="27" t="n">
        <v>3.4</v>
      </c>
      <c r="F36" s="27" t="n">
        <v>2.52</v>
      </c>
      <c r="G36" s="27" t="n">
        <v>0.22</v>
      </c>
      <c r="H36" s="27" t="n">
        <f aca="false">SUM(B36:G36)</f>
        <v>6.14</v>
      </c>
    </row>
    <row r="37" customFormat="false" ht="15" hidden="false" customHeight="false" outlineLevel="0" collapsed="false">
      <c r="A37" s="24" t="s">
        <v>76</v>
      </c>
      <c r="B37" s="25" t="n">
        <v>0</v>
      </c>
      <c r="C37" s="25" t="n">
        <v>0</v>
      </c>
      <c r="D37" s="25" t="n">
        <v>0</v>
      </c>
      <c r="E37" s="25" t="n">
        <v>82.06</v>
      </c>
      <c r="F37" s="25" t="n">
        <v>69.25</v>
      </c>
      <c r="G37" s="25" t="n">
        <v>10.25</v>
      </c>
      <c r="H37" s="25" t="n">
        <f aca="false">SUM(B37:G37)</f>
        <v>161.56</v>
      </c>
    </row>
    <row r="38" customFormat="false" ht="15" hidden="false" customHeight="false" outlineLevel="0" collapsed="false">
      <c r="A38" s="17" t="s">
        <v>16</v>
      </c>
      <c r="B38" s="18" t="n">
        <v>0</v>
      </c>
      <c r="C38" s="18" t="n">
        <v>0</v>
      </c>
      <c r="D38" s="18" t="n">
        <v>0</v>
      </c>
      <c r="E38" s="18" t="n">
        <v>11848.01</v>
      </c>
      <c r="F38" s="18" t="n">
        <v>23010.27</v>
      </c>
      <c r="G38" s="18" t="n">
        <v>1946.72</v>
      </c>
      <c r="H38" s="18" t="n">
        <f aca="false">SUM(B38:G38)</f>
        <v>36805</v>
      </c>
    </row>
    <row r="39" customFormat="false" ht="15" hidden="false" customHeight="false" outlineLevel="0" collapsed="false">
      <c r="A39" s="17" t="s">
        <v>17</v>
      </c>
      <c r="B39" s="18" t="n">
        <v>0</v>
      </c>
      <c r="C39" s="18" t="n">
        <v>0</v>
      </c>
      <c r="D39" s="18" t="n">
        <v>0</v>
      </c>
      <c r="E39" s="18" t="n">
        <v>420.64</v>
      </c>
      <c r="F39" s="18" t="n">
        <v>-403.6</v>
      </c>
      <c r="G39" s="18" t="n">
        <v>-105.52</v>
      </c>
      <c r="H39" s="18" t="n">
        <f aca="false">SUM(B39:G39)</f>
        <v>-88.48</v>
      </c>
    </row>
    <row r="40" customFormat="false" ht="15" hidden="false" customHeight="false" outlineLevel="0" collapsed="false">
      <c r="A40" s="26" t="s">
        <v>77</v>
      </c>
      <c r="B40" s="27" t="n">
        <v>0</v>
      </c>
      <c r="C40" s="27" t="n">
        <v>0</v>
      </c>
      <c r="D40" s="27" t="n">
        <v>0</v>
      </c>
      <c r="E40" s="27" t="n">
        <v>499.54</v>
      </c>
      <c r="F40" s="27" t="n">
        <v>274.71</v>
      </c>
      <c r="G40" s="27" t="n">
        <v>3.28</v>
      </c>
      <c r="H40" s="27" t="n">
        <f aca="false">SUM(B40:G40)</f>
        <v>777.53</v>
      </c>
    </row>
    <row r="41" customFormat="false" ht="15" hidden="false" customHeight="false" outlineLevel="0" collapsed="false">
      <c r="A41" s="24" t="s">
        <v>78</v>
      </c>
      <c r="B41" s="25" t="n">
        <v>0</v>
      </c>
      <c r="C41" s="25" t="n">
        <v>0</v>
      </c>
      <c r="D41" s="25" t="n">
        <v>0</v>
      </c>
      <c r="E41" s="25" t="n">
        <v>27.25</v>
      </c>
      <c r="F41" s="25" t="n">
        <v>3.91</v>
      </c>
      <c r="G41" s="25" t="n">
        <v>0.57</v>
      </c>
      <c r="H41" s="25" t="n">
        <f aca="false">SUM(B41:G41)</f>
        <v>31.73</v>
      </c>
    </row>
    <row r="42" customFormat="false" ht="15" hidden="false" customHeight="false" outlineLevel="0" collapsed="false">
      <c r="A42" s="26" t="s">
        <v>79</v>
      </c>
      <c r="B42" s="27" t="n">
        <v>0</v>
      </c>
      <c r="C42" s="27" t="n">
        <v>0</v>
      </c>
      <c r="D42" s="27" t="n">
        <v>0</v>
      </c>
      <c r="E42" s="27" t="n">
        <v>2.77</v>
      </c>
      <c r="F42" s="27" t="n">
        <v>6.27</v>
      </c>
      <c r="G42" s="27" t="n">
        <v>0</v>
      </c>
      <c r="H42" s="27" t="n">
        <f aca="false">SUM(B42:G42)</f>
        <v>9.04</v>
      </c>
    </row>
    <row r="43" customFormat="false" ht="15" hidden="false" customHeight="false" outlineLevel="0" collapsed="false">
      <c r="A43" s="24" t="s">
        <v>80</v>
      </c>
      <c r="B43" s="25" t="n">
        <v>0</v>
      </c>
      <c r="C43" s="25" t="n">
        <v>0</v>
      </c>
      <c r="D43" s="25" t="n">
        <v>0</v>
      </c>
      <c r="E43" s="25" t="n">
        <v>0</v>
      </c>
      <c r="F43" s="25" t="n">
        <v>0</v>
      </c>
      <c r="G43" s="25" t="n">
        <v>0</v>
      </c>
      <c r="H43" s="25" t="n">
        <f aca="false">SUM(B43:G43)</f>
        <v>0</v>
      </c>
    </row>
    <row r="44" customFormat="false" ht="15" hidden="false" customHeight="false" outlineLevel="0" collapsed="false">
      <c r="A44" s="26" t="s">
        <v>81</v>
      </c>
      <c r="B44" s="27" t="n">
        <v>0</v>
      </c>
      <c r="C44" s="27" t="n">
        <v>0</v>
      </c>
      <c r="D44" s="27" t="n">
        <v>0</v>
      </c>
      <c r="E44" s="27" t="n">
        <v>108.93</v>
      </c>
      <c r="F44" s="27" t="n">
        <v>688.49</v>
      </c>
      <c r="G44" s="27" t="n">
        <v>109.38</v>
      </c>
      <c r="H44" s="27" t="n">
        <f aca="false">SUM(B44:G44)</f>
        <v>906.8</v>
      </c>
    </row>
    <row r="45" customFormat="false" ht="15" hidden="false" customHeight="false" outlineLevel="0" collapsed="false">
      <c r="A45" s="17" t="s">
        <v>82</v>
      </c>
      <c r="B45" s="18" t="n">
        <v>0</v>
      </c>
      <c r="C45" s="18" t="n">
        <v>0</v>
      </c>
      <c r="D45" s="18" t="n">
        <v>0</v>
      </c>
      <c r="E45" s="18" t="n">
        <v>12268.65</v>
      </c>
      <c r="F45" s="18" t="n">
        <v>22606.68</v>
      </c>
      <c r="G45" s="18" t="n">
        <v>1841.2</v>
      </c>
      <c r="H45" s="18" t="n">
        <f aca="false">SUM(B45:G45)</f>
        <v>36716.53</v>
      </c>
    </row>
    <row r="46" customFormat="false" ht="15" hidden="false" customHeight="false" outlineLevel="0" collapsed="false">
      <c r="A46" s="26" t="s">
        <v>83</v>
      </c>
      <c r="B46" s="27" t="n">
        <v>0</v>
      </c>
      <c r="C46" s="27" t="n">
        <v>0</v>
      </c>
      <c r="D46" s="27" t="n">
        <v>0</v>
      </c>
      <c r="E46" s="27" t="n">
        <v>0</v>
      </c>
      <c r="F46" s="27" t="n">
        <v>0</v>
      </c>
      <c r="G46" s="27" t="n">
        <v>0</v>
      </c>
      <c r="H46" s="27" t="n">
        <f aca="false">SUM(B46:G46)</f>
        <v>0</v>
      </c>
    </row>
    <row r="47" customFormat="false" ht="15" hidden="false" customHeight="false" outlineLevel="0" collapsed="false">
      <c r="A47" s="11" t="s">
        <v>18</v>
      </c>
      <c r="B47" s="28" t="n">
        <v>0</v>
      </c>
      <c r="C47" s="28" t="n">
        <v>0</v>
      </c>
      <c r="D47" s="28" t="n">
        <v>0</v>
      </c>
      <c r="E47" s="28" t="n">
        <v>12268.65</v>
      </c>
      <c r="F47" s="28" t="n">
        <v>22606.68</v>
      </c>
      <c r="G47" s="28" t="n">
        <v>1841.2</v>
      </c>
      <c r="H47" s="28" t="n">
        <f aca="false">SUM(B47:G47)</f>
        <v>36716.53</v>
      </c>
    </row>
    <row r="49" customFormat="false" ht="15" hidden="false" customHeight="false" outlineLevel="0" collapsed="false">
      <c r="A49" s="3" t="s">
        <v>84</v>
      </c>
      <c r="B49" s="3"/>
      <c r="C49" s="3"/>
      <c r="D49" s="3"/>
      <c r="E49" s="3"/>
      <c r="F49" s="3"/>
      <c r="G49" s="3"/>
      <c r="H49" s="3"/>
    </row>
    <row r="50" customFormat="false" ht="15" hidden="false" customHeight="false" outlineLevel="0" collapsed="false">
      <c r="A50" s="22" t="s">
        <v>3</v>
      </c>
      <c r="B50" s="23" t="s">
        <v>4</v>
      </c>
      <c r="C50" s="23" t="s">
        <v>5</v>
      </c>
      <c r="D50" s="23" t="s">
        <v>6</v>
      </c>
      <c r="E50" s="23" t="s">
        <v>7</v>
      </c>
      <c r="F50" s="23" t="s">
        <v>8</v>
      </c>
      <c r="G50" s="23" t="s">
        <v>9</v>
      </c>
      <c r="H50" s="23" t="s">
        <v>10</v>
      </c>
    </row>
    <row r="51" customFormat="false" ht="15" hidden="false" customHeight="false" outlineLevel="0" collapsed="false">
      <c r="A51" s="17" t="s">
        <v>12</v>
      </c>
      <c r="B51" s="19" t="n">
        <f aca="false">IF(B$4=0,0,B4/B$4)</f>
        <v>0</v>
      </c>
      <c r="C51" s="19" t="n">
        <f aca="false">IF(C$4=0,0,C4/C$4)</f>
        <v>0</v>
      </c>
      <c r="D51" s="19" t="n">
        <f aca="false">IF(D$4=0,0,D4/D$4)</f>
        <v>0</v>
      </c>
      <c r="E51" s="19" t="n">
        <f aca="false">IF(E$4=0,0,E4/E$4)</f>
        <v>1</v>
      </c>
      <c r="F51" s="19" t="n">
        <f aca="false">IF(F$4=0,0,F4/F$4)</f>
        <v>1</v>
      </c>
      <c r="G51" s="19" t="n">
        <f aca="false">IF(G$4=0,0,G4/G$4)</f>
        <v>1</v>
      </c>
      <c r="H51" s="19" t="n">
        <f aca="false">IF(H$4=0,0,H4/H$4)</f>
        <v>1</v>
      </c>
    </row>
    <row r="52" customFormat="false" ht="15" hidden="false" customHeight="false" outlineLevel="0" collapsed="false">
      <c r="A52" s="24" t="s">
        <v>33</v>
      </c>
      <c r="B52" s="29" t="n">
        <f aca="false">IF(B$4=0,0,B5/B$4)</f>
        <v>0</v>
      </c>
      <c r="C52" s="29" t="n">
        <f aca="false">IF(C$4=0,0,C5/C$4)</f>
        <v>0</v>
      </c>
      <c r="D52" s="29" t="n">
        <f aca="false">IF(D$4=0,0,D5/D$4)</f>
        <v>0</v>
      </c>
      <c r="E52" s="29" t="n">
        <f aca="false">IF(E$4=0,0,E5/E$4)</f>
        <v>1</v>
      </c>
      <c r="F52" s="29" t="n">
        <f aca="false">IF(F$4=0,0,F5/F$4)</f>
        <v>1</v>
      </c>
      <c r="G52" s="29" t="n">
        <f aca="false">IF(G$4=0,0,G5/G$4)</f>
        <v>1</v>
      </c>
      <c r="H52" s="29" t="n">
        <f aca="false">IF(H$4=0,0,H5/H$4)</f>
        <v>1</v>
      </c>
    </row>
    <row r="53" customFormat="false" ht="15" hidden="false" customHeight="false" outlineLevel="0" collapsed="false">
      <c r="A53" s="26" t="s">
        <v>40</v>
      </c>
      <c r="B53" s="30" t="n">
        <f aca="false">IF(B$4=0,0,B6/B$4)</f>
        <v>0</v>
      </c>
      <c r="C53" s="30" t="n">
        <f aca="false">IF(C$4=0,0,C6/C$4)</f>
        <v>0</v>
      </c>
      <c r="D53" s="30" t="n">
        <f aca="false">IF(D$4=0,0,D6/D$4)</f>
        <v>0</v>
      </c>
      <c r="E53" s="30" t="n">
        <f aca="false">IF(E$4=0,0,E6/E$4)</f>
        <v>0</v>
      </c>
      <c r="F53" s="30" t="n">
        <f aca="false">IF(F$4=0,0,F6/F$4)</f>
        <v>0</v>
      </c>
      <c r="G53" s="30" t="n">
        <f aca="false">IF(G$4=0,0,G6/G$4)</f>
        <v>0</v>
      </c>
      <c r="H53" s="30" t="n">
        <f aca="false">IF(H$4=0,0,H6/H$4)</f>
        <v>0</v>
      </c>
    </row>
    <row r="54" customFormat="false" ht="15" hidden="false" customHeight="false" outlineLevel="0" collapsed="false">
      <c r="A54" s="17" t="s">
        <v>13</v>
      </c>
      <c r="B54" s="19" t="n">
        <f aca="false">IF(B$4=0,0,B7/B$4)</f>
        <v>0</v>
      </c>
      <c r="C54" s="19" t="n">
        <f aca="false">IF(C$4=0,0,C7/C$4)</f>
        <v>0</v>
      </c>
      <c r="D54" s="19" t="n">
        <f aca="false">IF(D$4=0,0,D7/D$4)</f>
        <v>0</v>
      </c>
      <c r="E54" s="19" t="n">
        <f aca="false">IF(E$4=0,0,E7/E$4)</f>
        <v>0.798889430682877</v>
      </c>
      <c r="F54" s="19" t="n">
        <f aca="false">IF(F$4=0,0,F7/F$4)</f>
        <v>0.76464882058979</v>
      </c>
      <c r="G54" s="19" t="n">
        <f aca="false">IF(G$4=0,0,G7/G$4)</f>
        <v>0.765660741885626</v>
      </c>
      <c r="H54" s="19" t="n">
        <f aca="false">IF(H$4=0,0,H7/H$4)</f>
        <v>0.779066302864939</v>
      </c>
    </row>
    <row r="55" customFormat="false" ht="15" hidden="false" customHeight="false" outlineLevel="0" collapsed="false">
      <c r="A55" s="26" t="s">
        <v>48</v>
      </c>
      <c r="B55" s="30" t="n">
        <f aca="false">IF(B$4=0,0,B8/B$4)</f>
        <v>0</v>
      </c>
      <c r="C55" s="30" t="n">
        <f aca="false">IF(C$4=0,0,C8/C$4)</f>
        <v>0</v>
      </c>
      <c r="D55" s="30" t="n">
        <f aca="false">IF(D$4=0,0,D8/D$4)</f>
        <v>0</v>
      </c>
      <c r="E55" s="30" t="n">
        <f aca="false">IF(E$4=0,0,E8/E$4)</f>
        <v>0.798889430682877</v>
      </c>
      <c r="F55" s="30" t="n">
        <f aca="false">IF(F$4=0,0,F8/F$4)</f>
        <v>0.76464882058979</v>
      </c>
      <c r="G55" s="30" t="n">
        <f aca="false">IF(G$4=0,0,G8/G$4)</f>
        <v>0.765660741885626</v>
      </c>
      <c r="H55" s="30" t="n">
        <f aca="false">IF(H$4=0,0,H8/H$4)</f>
        <v>0.779066302864939</v>
      </c>
    </row>
    <row r="56" customFormat="false" ht="15" hidden="false" customHeight="false" outlineLevel="0" collapsed="false">
      <c r="A56" s="24" t="s">
        <v>50</v>
      </c>
      <c r="B56" s="29" t="n">
        <f aca="false">IF(B$4=0,0,B9/B$4)</f>
        <v>0</v>
      </c>
      <c r="C56" s="29" t="n">
        <f aca="false">IF(C$4=0,0,C9/C$4)</f>
        <v>0</v>
      </c>
      <c r="D56" s="29" t="n">
        <f aca="false">IF(D$4=0,0,D9/D$4)</f>
        <v>0</v>
      </c>
      <c r="E56" s="29" t="n">
        <f aca="false">IF(E$4=0,0,E9/E$4)</f>
        <v>0</v>
      </c>
      <c r="F56" s="29" t="n">
        <f aca="false">IF(F$4=0,0,F9/F$4)</f>
        <v>0</v>
      </c>
      <c r="G56" s="29" t="n">
        <f aca="false">IF(G$4=0,0,G9/G$4)</f>
        <v>0</v>
      </c>
      <c r="H56" s="29" t="n">
        <f aca="false">IF(H$4=0,0,H9/H$4)</f>
        <v>0</v>
      </c>
    </row>
    <row r="57" customFormat="false" ht="15" hidden="false" customHeight="false" outlineLevel="0" collapsed="false">
      <c r="A57" s="17" t="s">
        <v>14</v>
      </c>
      <c r="B57" s="19" t="n">
        <f aca="false">IF(B$4=0,0,B10/B$4)</f>
        <v>0</v>
      </c>
      <c r="C57" s="19" t="n">
        <f aca="false">IF(C$4=0,0,C10/C$4)</f>
        <v>0</v>
      </c>
      <c r="D57" s="19" t="n">
        <f aca="false">IF(D$4=0,0,D10/D$4)</f>
        <v>0</v>
      </c>
      <c r="E57" s="19" t="n">
        <f aca="false">IF(E$4=0,0,E10/E$4)</f>
        <v>0.201110569317123</v>
      </c>
      <c r="F57" s="19" t="n">
        <f aca="false">IF(F$4=0,0,F10/F$4)</f>
        <v>0.23535117941021</v>
      </c>
      <c r="G57" s="19" t="n">
        <f aca="false">IF(G$4=0,0,G10/G$4)</f>
        <v>0.234339258114374</v>
      </c>
      <c r="H57" s="19" t="n">
        <f aca="false">IF(H$4=0,0,H10/H$4)</f>
        <v>0.220933697135061</v>
      </c>
    </row>
    <row r="58" customFormat="false" ht="15" hidden="false" customHeight="false" outlineLevel="0" collapsed="false">
      <c r="A58" s="17" t="s">
        <v>15</v>
      </c>
      <c r="B58" s="19" t="n">
        <f aca="false">IF(B$4=0,0,B11/B$4)</f>
        <v>0</v>
      </c>
      <c r="C58" s="19" t="n">
        <f aca="false">IF(C$4=0,0,C11/C$4)</f>
        <v>0</v>
      </c>
      <c r="D58" s="19" t="n">
        <f aca="false">IF(D$4=0,0,D11/D$4)</f>
        <v>0</v>
      </c>
      <c r="E58" s="19" t="n">
        <f aca="false">IF(E$4=0,0,E11/E$4)</f>
        <v>0.0727269575016796</v>
      </c>
      <c r="F58" s="19" t="n">
        <f aca="false">IF(F$4=0,0,F11/F$4)</f>
        <v>0.0391216250788832</v>
      </c>
      <c r="G58" s="19" t="n">
        <f aca="false">IF(G$4=0,0,G11/G$4)</f>
        <v>0.0462867078825348</v>
      </c>
      <c r="H58" s="19" t="n">
        <f aca="false">IF(H$4=0,0,H11/H$4)</f>
        <v>0.0535621646202819</v>
      </c>
    </row>
    <row r="59" customFormat="false" ht="15" hidden="false" customHeight="false" outlineLevel="0" collapsed="false">
      <c r="A59" s="26" t="s">
        <v>51</v>
      </c>
      <c r="B59" s="30" t="n">
        <f aca="false">IF(B$4=0,0,B12/B$4)</f>
        <v>0</v>
      </c>
      <c r="C59" s="30" t="n">
        <f aca="false">IF(C$4=0,0,C12/C$4)</f>
        <v>0</v>
      </c>
      <c r="D59" s="30" t="n">
        <f aca="false">IF(D$4=0,0,D12/D$4)</f>
        <v>0</v>
      </c>
      <c r="E59" s="30" t="n">
        <f aca="false">IF(E$4=0,0,E12/E$4)</f>
        <v>0.0248952170426717</v>
      </c>
      <c r="F59" s="30" t="n">
        <f aca="false">IF(F$4=0,0,F12/F$4)</f>
        <v>0.0176044242806706</v>
      </c>
      <c r="G59" s="30" t="n">
        <f aca="false">IF(G$4=0,0,G12/G$4)</f>
        <v>0.0186601622874807</v>
      </c>
      <c r="H59" s="30" t="n">
        <f aca="false">IF(H$4=0,0,H12/H$4)</f>
        <v>0.0207138699408822</v>
      </c>
    </row>
    <row r="60" customFormat="false" ht="15" hidden="false" customHeight="false" outlineLevel="0" collapsed="false">
      <c r="A60" s="24" t="s">
        <v>52</v>
      </c>
      <c r="B60" s="29" t="n">
        <f aca="false">IF(B$4=0,0,B13/B$4)</f>
        <v>0</v>
      </c>
      <c r="C60" s="29" t="n">
        <f aca="false">IF(C$4=0,0,C13/C$4)</f>
        <v>0</v>
      </c>
      <c r="D60" s="29" t="n">
        <f aca="false">IF(D$4=0,0,D13/D$4)</f>
        <v>0</v>
      </c>
      <c r="E60" s="29" t="n">
        <f aca="false">IF(E$4=0,0,E13/E$4)</f>
        <v>0</v>
      </c>
      <c r="F60" s="29" t="n">
        <f aca="false">IF(F$4=0,0,F13/F$4)</f>
        <v>0</v>
      </c>
      <c r="G60" s="29" t="n">
        <f aca="false">IF(G$4=0,0,G13/G$4)</f>
        <v>0</v>
      </c>
      <c r="H60" s="29" t="n">
        <f aca="false">IF(H$4=0,0,H13/H$4)</f>
        <v>0</v>
      </c>
    </row>
    <row r="61" customFormat="false" ht="15" hidden="false" customHeight="false" outlineLevel="0" collapsed="false">
      <c r="A61" s="26" t="s">
        <v>53</v>
      </c>
      <c r="B61" s="30" t="n">
        <f aca="false">IF(B$4=0,0,B14/B$4)</f>
        <v>0</v>
      </c>
      <c r="C61" s="30" t="n">
        <f aca="false">IF(C$4=0,0,C14/C$4)</f>
        <v>0</v>
      </c>
      <c r="D61" s="30" t="n">
        <f aca="false">IF(D$4=0,0,D14/D$4)</f>
        <v>0</v>
      </c>
      <c r="E61" s="30" t="n">
        <f aca="false">IF(E$4=0,0,E14/E$4)</f>
        <v>0.00047981275599766</v>
      </c>
      <c r="F61" s="30" t="n">
        <f aca="false">IF(F$4=0,0,F14/F$4)</f>
        <v>0.000484214835155464</v>
      </c>
      <c r="G61" s="30" t="n">
        <f aca="false">IF(G$4=0,0,G14/G$4)</f>
        <v>0.000522604327666152</v>
      </c>
      <c r="H61" s="30" t="n">
        <f aca="false">IF(H$4=0,0,H14/H$4)</f>
        <v>0.000484174624829468</v>
      </c>
    </row>
    <row r="62" customFormat="false" ht="15" hidden="false" customHeight="false" outlineLevel="0" collapsed="false">
      <c r="A62" s="24" t="s">
        <v>54</v>
      </c>
      <c r="B62" s="29" t="n">
        <f aca="false">IF(B$4=0,0,B15/B$4)</f>
        <v>0</v>
      </c>
      <c r="C62" s="29" t="n">
        <f aca="false">IF(C$4=0,0,C15/C$4)</f>
        <v>0</v>
      </c>
      <c r="D62" s="29" t="n">
        <f aca="false">IF(D$4=0,0,D15/D$4)</f>
        <v>0</v>
      </c>
      <c r="E62" s="29" t="n">
        <f aca="false">IF(E$4=0,0,E15/E$4)</f>
        <v>0.00186908090067833</v>
      </c>
      <c r="F62" s="29" t="n">
        <f aca="false">IF(F$4=0,0,F15/F$4)</f>
        <v>0.00135346489058689</v>
      </c>
      <c r="G62" s="29" t="n">
        <f aca="false">IF(G$4=0,0,G15/G$4)</f>
        <v>0.00144319938176198</v>
      </c>
      <c r="H62" s="29" t="n">
        <f aca="false">IF(H$4=0,0,H15/H$4)</f>
        <v>0.00157407912687585</v>
      </c>
    </row>
    <row r="63" customFormat="false" ht="15" hidden="false" customHeight="false" outlineLevel="0" collapsed="false">
      <c r="A63" s="26" t="s">
        <v>55</v>
      </c>
      <c r="B63" s="30" t="n">
        <f aca="false">IF(B$4=0,0,B16/B$4)</f>
        <v>0</v>
      </c>
      <c r="C63" s="30" t="n">
        <f aca="false">IF(C$4=0,0,C16/C$4)</f>
        <v>0</v>
      </c>
      <c r="D63" s="30" t="n">
        <f aca="false">IF(D$4=0,0,D16/D$4)</f>
        <v>0</v>
      </c>
      <c r="E63" s="30" t="n">
        <f aca="false">IF(E$4=0,0,E16/E$4)</f>
        <v>0.00691069067897623</v>
      </c>
      <c r="F63" s="30" t="n">
        <f aca="false">IF(F$4=0,0,F16/F$4)</f>
        <v>0.00421654073783493</v>
      </c>
      <c r="G63" s="30" t="n">
        <f aca="false">IF(G$4=0,0,G16/G$4)</f>
        <v>0.0065629829984544</v>
      </c>
      <c r="H63" s="30" t="n">
        <f aca="false">IF(H$4=0,0,H16/H$4)</f>
        <v>0.00545766257389723</v>
      </c>
    </row>
    <row r="64" customFormat="false" ht="15" hidden="false" customHeight="false" outlineLevel="0" collapsed="false">
      <c r="A64" s="24" t="s">
        <v>56</v>
      </c>
      <c r="B64" s="29" t="n">
        <f aca="false">IF(B$4=0,0,B17/B$4)</f>
        <v>0</v>
      </c>
      <c r="C64" s="29" t="n">
        <f aca="false">IF(C$4=0,0,C17/C$4)</f>
        <v>0</v>
      </c>
      <c r="D64" s="29" t="n">
        <f aca="false">IF(D$4=0,0,D17/D$4)</f>
        <v>0</v>
      </c>
      <c r="E64" s="29" t="n">
        <f aca="false">IF(E$4=0,0,E17/E$4)</f>
        <v>0.000641375723294974</v>
      </c>
      <c r="F64" s="29" t="n">
        <f aca="false">IF(F$4=0,0,F17/F$4)</f>
        <v>0.000363800719755761</v>
      </c>
      <c r="G64" s="29" t="n">
        <f aca="false">IF(G$4=0,0,G17/G$4)</f>
        <v>0.000231839258114374</v>
      </c>
      <c r="H64" s="29" t="n">
        <f aca="false">IF(H$4=0,0,H17/H$4)</f>
        <v>0.000474079126875853</v>
      </c>
    </row>
    <row r="65" customFormat="false" ht="15" hidden="false" customHeight="false" outlineLevel="0" collapsed="false">
      <c r="A65" s="26" t="s">
        <v>57</v>
      </c>
      <c r="B65" s="30" t="n">
        <f aca="false">IF(B$4=0,0,B18/B$4)</f>
        <v>0</v>
      </c>
      <c r="C65" s="30" t="n">
        <f aca="false">IF(C$4=0,0,C18/C$4)</f>
        <v>0</v>
      </c>
      <c r="D65" s="30" t="n">
        <f aca="false">IF(D$4=0,0,D18/D$4)</f>
        <v>0</v>
      </c>
      <c r="E65" s="30" t="n">
        <f aca="false">IF(E$4=0,0,E18/E$4)</f>
        <v>5.66716511713586E-005</v>
      </c>
      <c r="F65" s="30" t="n">
        <f aca="false">IF(F$4=0,0,F18/F$4)</f>
        <v>7.06963892821204E-005</v>
      </c>
      <c r="G65" s="30" t="n">
        <f aca="false">IF(G$4=0,0,G18/G$4)</f>
        <v>0.000199961360123648</v>
      </c>
      <c r="H65" s="30" t="n">
        <f aca="false">IF(H$4=0,0,H18/H$4)</f>
        <v>7.08958617553433E-005</v>
      </c>
    </row>
    <row r="66" customFormat="false" ht="15" hidden="false" customHeight="false" outlineLevel="0" collapsed="false">
      <c r="A66" s="24" t="s">
        <v>58</v>
      </c>
      <c r="B66" s="29" t="n">
        <f aca="false">IF(B$4=0,0,B19/B$4)</f>
        <v>0</v>
      </c>
      <c r="C66" s="29" t="n">
        <f aca="false">IF(C$4=0,0,C19/C$4)</f>
        <v>0</v>
      </c>
      <c r="D66" s="29" t="n">
        <f aca="false">IF(D$4=0,0,D19/D$4)</f>
        <v>0</v>
      </c>
      <c r="E66" s="29" t="n">
        <f aca="false">IF(E$4=0,0,E19/E$4)</f>
        <v>0.000532150055262987</v>
      </c>
      <c r="F66" s="29" t="n">
        <f aca="false">IF(F$4=0,0,F19/F$4)</f>
        <v>0.000248588630587914</v>
      </c>
      <c r="G66" s="29" t="n">
        <f aca="false">IF(G$4=0,0,G19/G$4)</f>
        <v>8.21097372488408E-005</v>
      </c>
      <c r="H66" s="29" t="n">
        <f aca="false">IF(H$4=0,0,H19/H$4)</f>
        <v>0.000359754433833561</v>
      </c>
    </row>
    <row r="67" customFormat="false" ht="15" hidden="false" customHeight="false" outlineLevel="0" collapsed="false">
      <c r="A67" s="26" t="s">
        <v>59</v>
      </c>
      <c r="B67" s="30" t="n">
        <f aca="false">IF(B$4=0,0,B20/B$4)</f>
        <v>0</v>
      </c>
      <c r="C67" s="30" t="n">
        <f aca="false">IF(C$4=0,0,C20/C$4)</f>
        <v>0</v>
      </c>
      <c r="D67" s="30" t="n">
        <f aca="false">IF(D$4=0,0,D20/D$4)</f>
        <v>0</v>
      </c>
      <c r="E67" s="30" t="n">
        <f aca="false">IF(E$4=0,0,E20/E$4)</f>
        <v>3.47831740459008E-005</v>
      </c>
      <c r="F67" s="30" t="n">
        <f aca="false">IF(F$4=0,0,F20/F$4)</f>
        <v>6.06334532926268E-005</v>
      </c>
      <c r="G67" s="30" t="n">
        <f aca="false">IF(G$4=0,0,G20/G$4)</f>
        <v>0.000219281298299845</v>
      </c>
      <c r="H67" s="30" t="n">
        <f aca="false">IF(H$4=0,0,H20/H$4)</f>
        <v>5.72532969531605E-005</v>
      </c>
    </row>
    <row r="68" customFormat="false" ht="15" hidden="false" customHeight="false" outlineLevel="0" collapsed="false">
      <c r="A68" s="24" t="s">
        <v>60</v>
      </c>
      <c r="B68" s="29" t="n">
        <f aca="false">IF(B$4=0,0,B21/B$4)</f>
        <v>0</v>
      </c>
      <c r="C68" s="29" t="n">
        <f aca="false">IF(C$4=0,0,C21/C$4)</f>
        <v>0</v>
      </c>
      <c r="D68" s="29" t="n">
        <f aca="false">IF(D$4=0,0,D21/D$4)</f>
        <v>0</v>
      </c>
      <c r="E68" s="29" t="n">
        <f aca="false">IF(E$4=0,0,E21/E$4)</f>
        <v>0.00731573586459485</v>
      </c>
      <c r="F68" s="29" t="n">
        <f aca="false">IF(F$4=0,0,F21/F$4)</f>
        <v>0.00427521277140079</v>
      </c>
      <c r="G68" s="29" t="n">
        <f aca="false">IF(G$4=0,0,G21/G$4)</f>
        <v>0.00501062596599691</v>
      </c>
      <c r="H68" s="29" t="n">
        <f aca="false">IF(H$4=0,0,H21/H$4)</f>
        <v>0.00558585720782174</v>
      </c>
    </row>
    <row r="69" customFormat="false" ht="15" hidden="false" customHeight="false" outlineLevel="0" collapsed="false">
      <c r="A69" s="26" t="s">
        <v>61</v>
      </c>
      <c r="B69" s="30" t="n">
        <f aca="false">IF(B$4=0,0,B22/B$4)</f>
        <v>0</v>
      </c>
      <c r="C69" s="30" t="n">
        <f aca="false">IF(C$4=0,0,C22/C$4)</f>
        <v>0</v>
      </c>
      <c r="D69" s="30" t="n">
        <f aca="false">IF(D$4=0,0,D22/D$4)</f>
        <v>0</v>
      </c>
      <c r="E69" s="30" t="n">
        <f aca="false">IF(E$4=0,0,E22/E$4)</f>
        <v>0.00862015907071495</v>
      </c>
      <c r="F69" s="30" t="n">
        <f aca="false">IF(F$4=0,0,F22/F$4)</f>
        <v>0.00362444781770736</v>
      </c>
      <c r="G69" s="30" t="n">
        <f aca="false">IF(G$4=0,0,G22/G$4)</f>
        <v>0.00434119010819165</v>
      </c>
      <c r="H69" s="30" t="n">
        <f aca="false">IF(H$4=0,0,H22/H$4)</f>
        <v>0.00575475216007276</v>
      </c>
    </row>
    <row r="70" customFormat="false" ht="15" hidden="false" customHeight="false" outlineLevel="0" collapsed="false">
      <c r="A70" s="24" t="s">
        <v>62</v>
      </c>
      <c r="B70" s="29" t="n">
        <f aca="false">IF(B$4=0,0,B23/B$4)</f>
        <v>0</v>
      </c>
      <c r="C70" s="29" t="n">
        <f aca="false">IF(C$4=0,0,C23/C$4)</f>
        <v>0</v>
      </c>
      <c r="D70" s="29" t="n">
        <f aca="false">IF(D$4=0,0,D23/D$4)</f>
        <v>0</v>
      </c>
      <c r="E70" s="29" t="n">
        <f aca="false">IF(E$4=0,0,E23/E$4)</f>
        <v>0.00472704418871768</v>
      </c>
      <c r="F70" s="29" t="n">
        <f aca="false">IF(F$4=0,0,F23/F$4)</f>
        <v>0.00457411608193618</v>
      </c>
      <c r="G70" s="29" t="n">
        <f aca="false">IF(G$4=0,0,G23/G$4)</f>
        <v>0.00400115919629057</v>
      </c>
      <c r="H70" s="29" t="n">
        <f aca="false">IF(H$4=0,0,H23/H$4)</f>
        <v>0.00461132332878581</v>
      </c>
    </row>
    <row r="71" customFormat="false" ht="15" hidden="false" customHeight="false" outlineLevel="0" collapsed="false">
      <c r="A71" s="26" t="s">
        <v>63</v>
      </c>
      <c r="B71" s="30" t="n">
        <f aca="false">IF(B$4=0,0,B24/B$4)</f>
        <v>0</v>
      </c>
      <c r="C71" s="30" t="n">
        <f aca="false">IF(C$4=0,0,C24/C$4)</f>
        <v>0</v>
      </c>
      <c r="D71" s="30" t="n">
        <f aca="false">IF(D$4=0,0,D24/D$4)</f>
        <v>0</v>
      </c>
      <c r="E71" s="30" t="n">
        <f aca="false">IF(E$4=0,0,E24/E$4)</f>
        <v>0.000337104219491581</v>
      </c>
      <c r="F71" s="30" t="n">
        <f aca="false">IF(F$4=0,0,F24/F$4)</f>
        <v>0.000192901366171479</v>
      </c>
      <c r="G71" s="30" t="n">
        <f aca="false">IF(G$4=0,0,G24/G$4)</f>
        <v>0.000253091190108192</v>
      </c>
      <c r="H71" s="30" t="n">
        <f aca="false">IF(H$4=0,0,H24/H$4)</f>
        <v>0.000256252842201</v>
      </c>
    </row>
    <row r="72" customFormat="false" ht="15" hidden="false" customHeight="false" outlineLevel="0" collapsed="false">
      <c r="A72" s="24" t="s">
        <v>64</v>
      </c>
      <c r="B72" s="29" t="n">
        <f aca="false">IF(B$4=0,0,B25/B$4)</f>
        <v>0</v>
      </c>
      <c r="C72" s="29" t="n">
        <f aca="false">IF(C$4=0,0,C25/C$4)</f>
        <v>0</v>
      </c>
      <c r="D72" s="29" t="n">
        <f aca="false">IF(D$4=0,0,D25/D$4)</f>
        <v>0</v>
      </c>
      <c r="E72" s="29" t="n">
        <f aca="false">IF(E$4=0,0,E25/E$4)</f>
        <v>0.000322475781808725</v>
      </c>
      <c r="F72" s="29" t="n">
        <f aca="false">IF(F$4=0,0,F25/F$4)</f>
        <v>0.000188466852006618</v>
      </c>
      <c r="G72" s="29" t="n">
        <f aca="false">IF(G$4=0,0,G25/G$4)</f>
        <v>0.000190301391035549</v>
      </c>
      <c r="H72" s="29" t="n">
        <f aca="false">IF(H$4=0,0,H25/H$4)</f>
        <v>0.000244793087767167</v>
      </c>
    </row>
    <row r="73" customFormat="false" ht="15" hidden="false" customHeight="false" outlineLevel="0" collapsed="false">
      <c r="A73" s="26" t="s">
        <v>65</v>
      </c>
      <c r="B73" s="30" t="n">
        <f aca="false">IF(B$4=0,0,B26/B$4)</f>
        <v>0</v>
      </c>
      <c r="C73" s="30" t="n">
        <f aca="false">IF(C$4=0,0,C26/C$4)</f>
        <v>0</v>
      </c>
      <c r="D73" s="30" t="n">
        <f aca="false">IF(D$4=0,0,D26/D$4)</f>
        <v>0</v>
      </c>
      <c r="E73" s="30" t="n">
        <f aca="false">IF(E$4=0,0,E26/E$4)</f>
        <v>0.000892334698654184</v>
      </c>
      <c r="F73" s="30" t="n">
        <f aca="false">IF(F$4=0,0,F26/F$4)</f>
        <v>7.69217649366376E-005</v>
      </c>
      <c r="G73" s="30" t="n">
        <f aca="false">IF(G$4=0,0,G26/G$4)</f>
        <v>5.21638330757342E-005</v>
      </c>
      <c r="H73" s="30" t="n">
        <f aca="false">IF(H$4=0,0,H26/H$4)</f>
        <v>0.000417962710322874</v>
      </c>
    </row>
    <row r="74" customFormat="false" ht="15" hidden="false" customHeight="false" outlineLevel="0" collapsed="false">
      <c r="A74" s="24" t="s">
        <v>66</v>
      </c>
      <c r="B74" s="29" t="n">
        <f aca="false">IF(B$4=0,0,B27/B$4)</f>
        <v>0</v>
      </c>
      <c r="C74" s="29" t="n">
        <f aca="false">IF(C$4=0,0,C27/C$4)</f>
        <v>0</v>
      </c>
      <c r="D74" s="29" t="n">
        <f aca="false">IF(D$4=0,0,D27/D$4)</f>
        <v>0</v>
      </c>
      <c r="E74" s="29" t="n">
        <f aca="false">IF(E$4=0,0,E27/E$4)</f>
        <v>0.00853997356045337</v>
      </c>
      <c r="F74" s="29" t="n">
        <f aca="false">IF(F$4=0,0,F27/F$4)</f>
        <v>0</v>
      </c>
      <c r="G74" s="29" t="n">
        <f aca="false">IF(G$4=0,0,G27/G$4)</f>
        <v>0</v>
      </c>
      <c r="H74" s="29" t="n">
        <f aca="false">IF(H$4=0,0,H27/H$4)</f>
        <v>0.00358399272396544</v>
      </c>
    </row>
    <row r="75" customFormat="false" ht="15" hidden="false" customHeight="false" outlineLevel="0" collapsed="false">
      <c r="A75" s="26" t="s">
        <v>67</v>
      </c>
      <c r="B75" s="30" t="n">
        <f aca="false">IF(B$4=0,0,B28/B$4)</f>
        <v>0</v>
      </c>
      <c r="C75" s="30" t="n">
        <f aca="false">IF(C$4=0,0,C28/C$4)</f>
        <v>0</v>
      </c>
      <c r="D75" s="30" t="n">
        <f aca="false">IF(D$4=0,0,D28/D$4)</f>
        <v>0</v>
      </c>
      <c r="E75" s="30" t="n">
        <f aca="false">IF(E$4=0,0,E28/E$4)</f>
        <v>0</v>
      </c>
      <c r="F75" s="30" t="n">
        <f aca="false">IF(F$4=0,0,F28/F$4)</f>
        <v>0</v>
      </c>
      <c r="G75" s="30" t="n">
        <f aca="false">IF(G$4=0,0,G28/G$4)</f>
        <v>0</v>
      </c>
      <c r="H75" s="30" t="n">
        <f aca="false">IF(H$4=0,0,H28/H$4)</f>
        <v>0</v>
      </c>
    </row>
    <row r="76" customFormat="false" ht="15" hidden="false" customHeight="false" outlineLevel="0" collapsed="false">
      <c r="A76" s="24" t="s">
        <v>68</v>
      </c>
      <c r="B76" s="29" t="n">
        <f aca="false">IF(B$4=0,0,B29/B$4)</f>
        <v>0</v>
      </c>
      <c r="C76" s="29" t="n">
        <f aca="false">IF(C$4=0,0,C29/C$4)</f>
        <v>0</v>
      </c>
      <c r="D76" s="29" t="n">
        <f aca="false">IF(D$4=0,0,D29/D$4)</f>
        <v>0</v>
      </c>
      <c r="E76" s="29" t="n">
        <f aca="false">IF(E$4=0,0,E29/E$4)</f>
        <v>0.000368636629607958</v>
      </c>
      <c r="F76" s="29" t="n">
        <f aca="false">IF(F$4=0,0,F29/F$4)</f>
        <v>0.000215415053470007</v>
      </c>
      <c r="G76" s="29" t="n">
        <f aca="false">IF(G$4=0,0,G29/G$4)</f>
        <v>0.000217349304482226</v>
      </c>
      <c r="H76" s="29" t="n">
        <f aca="false">IF(H$4=0,0,H29/H$4)</f>
        <v>0.000279809004092769</v>
      </c>
    </row>
    <row r="77" customFormat="false" ht="15" hidden="false" customHeight="false" outlineLevel="0" collapsed="false">
      <c r="A77" s="26" t="s">
        <v>69</v>
      </c>
      <c r="B77" s="30" t="n">
        <f aca="false">IF(B$4=0,0,B30/B$4)</f>
        <v>0</v>
      </c>
      <c r="C77" s="30" t="n">
        <f aca="false">IF(C$4=0,0,C30/C$4)</f>
        <v>0</v>
      </c>
      <c r="D77" s="30" t="n">
        <f aca="false">IF(D$4=0,0,D30/D$4)</f>
        <v>0</v>
      </c>
      <c r="E77" s="30" t="n">
        <f aca="false">IF(E$4=0,0,E30/E$4)</f>
        <v>0.000318033071105043</v>
      </c>
      <c r="F77" s="30" t="n">
        <f aca="false">IF(F$4=0,0,F30/F$4)</f>
        <v>0.000116832392420392</v>
      </c>
      <c r="G77" s="30" t="n">
        <f aca="false">IF(G$4=0,0,G30/G$4)</f>
        <v>0.000139103554868624</v>
      </c>
      <c r="H77" s="30" t="n">
        <f aca="false">IF(H$4=0,0,H30/H$4)</f>
        <v>0.000202319236016371</v>
      </c>
    </row>
    <row r="78" customFormat="false" ht="15" hidden="false" customHeight="false" outlineLevel="0" collapsed="false">
      <c r="A78" s="24" t="s">
        <v>70</v>
      </c>
      <c r="B78" s="29" t="n">
        <f aca="false">IF(B$4=0,0,B31/B$4)</f>
        <v>0</v>
      </c>
      <c r="C78" s="29" t="n">
        <f aca="false">IF(C$4=0,0,C31/C$4)</f>
        <v>0</v>
      </c>
      <c r="D78" s="29" t="n">
        <f aca="false">IF(D$4=0,0,D31/D$4)</f>
        <v>0</v>
      </c>
      <c r="E78" s="29" t="n">
        <f aca="false">IF(E$4=0,0,E31/E$4)</f>
        <v>0.000117244219058145</v>
      </c>
      <c r="F78" s="29" t="n">
        <f aca="false">IF(F$4=0,0,F31/F$4)</f>
        <v>0.000105404990534018</v>
      </c>
      <c r="G78" s="29" t="n">
        <f aca="false">IF(G$4=0,0,G31/G$4)</f>
        <v>7.05177743431221E-005</v>
      </c>
      <c r="H78" s="29" t="n">
        <f aca="false">IF(H$4=0,0,H31/H$4)</f>
        <v>0.000108731241473397</v>
      </c>
    </row>
    <row r="79" customFormat="false" ht="15" hidden="false" customHeight="false" outlineLevel="0" collapsed="false">
      <c r="A79" s="26" t="s">
        <v>71</v>
      </c>
      <c r="B79" s="30" t="n">
        <f aca="false">IF(B$4=0,0,B32/B$4)</f>
        <v>0</v>
      </c>
      <c r="C79" s="30" t="n">
        <f aca="false">IF(C$4=0,0,C32/C$4)</f>
        <v>0</v>
      </c>
      <c r="D79" s="30" t="n">
        <f aca="false">IF(D$4=0,0,D32/D$4)</f>
        <v>0</v>
      </c>
      <c r="E79" s="30" t="n">
        <f aca="false">IF(E$4=0,0,E32/E$4)</f>
        <v>1.22445441345383E-005</v>
      </c>
      <c r="F79" s="30" t="n">
        <f aca="false">IF(F$4=0,0,F32/F$4)</f>
        <v>0</v>
      </c>
      <c r="G79" s="30" t="n">
        <f aca="false">IF(G$4=0,0,G32/G$4)</f>
        <v>3.86398763523957E-006</v>
      </c>
      <c r="H79" s="30" t="n">
        <f aca="false">IF(H$4=0,0,H32/H$4)</f>
        <v>5.3206002728513E-006</v>
      </c>
    </row>
    <row r="80" customFormat="false" ht="15" hidden="false" customHeight="false" outlineLevel="0" collapsed="false">
      <c r="A80" s="24" t="s">
        <v>72</v>
      </c>
      <c r="B80" s="29" t="n">
        <f aca="false">IF(B$4=0,0,B33/B$4)</f>
        <v>0</v>
      </c>
      <c r="C80" s="29" t="n">
        <f aca="false">IF(C$4=0,0,C33/C$4)</f>
        <v>0</v>
      </c>
      <c r="D80" s="29" t="n">
        <f aca="false">IF(D$4=0,0,D33/D$4)</f>
        <v>0</v>
      </c>
      <c r="E80" s="29" t="n">
        <f aca="false">IF(E$4=0,0,E33/E$4)</f>
        <v>0.000562923953795809</v>
      </c>
      <c r="F80" s="29" t="n">
        <f aca="false">IF(F$4=0,0,F33/F$4)</f>
        <v>0.000186079036687077</v>
      </c>
      <c r="G80" s="29" t="n">
        <f aca="false">IF(G$4=0,0,G33/G$4)</f>
        <v>0.000409582689335394</v>
      </c>
      <c r="H80" s="29" t="n">
        <f aca="false">IF(H$4=0,0,H33/H$4)</f>
        <v>0.00035475216007276</v>
      </c>
    </row>
    <row r="81" customFormat="false" ht="15" hidden="false" customHeight="false" outlineLevel="0" collapsed="false">
      <c r="A81" s="26" t="s">
        <v>73</v>
      </c>
      <c r="B81" s="30" t="n">
        <f aca="false">IF(B$4=0,0,B34/B$4)</f>
        <v>0</v>
      </c>
      <c r="C81" s="30" t="n">
        <f aca="false">IF(C$4=0,0,C34/C$4)</f>
        <v>0</v>
      </c>
      <c r="D81" s="30" t="n">
        <f aca="false">IF(D$4=0,0,D34/D$4)</f>
        <v>0</v>
      </c>
      <c r="E81" s="30" t="n">
        <f aca="false">IF(E$4=0,0,E34/E$4)</f>
        <v>0.000950306655397352</v>
      </c>
      <c r="F81" s="30" t="n">
        <f aca="false">IF(F$4=0,0,F34/F$4)</f>
        <v>9.58537292558544E-005</v>
      </c>
      <c r="G81" s="30" t="n">
        <f aca="false">IF(G$4=0,0,G34/G$4)</f>
        <v>0.00053902627511592</v>
      </c>
      <c r="H81" s="30" t="n">
        <f aca="false">IF(H$4=0,0,H34/H$4)</f>
        <v>0.000475306957708049</v>
      </c>
    </row>
    <row r="82" customFormat="false" ht="15" hidden="false" customHeight="false" outlineLevel="0" collapsed="false">
      <c r="A82" s="24" t="s">
        <v>74</v>
      </c>
      <c r="B82" s="29" t="n">
        <f aca="false">IF(B$4=0,0,B35/B$4)</f>
        <v>0</v>
      </c>
      <c r="C82" s="29" t="n">
        <f aca="false">IF(C$4=0,0,C35/C$4)</f>
        <v>0</v>
      </c>
      <c r="D82" s="29" t="n">
        <f aca="false">IF(D$4=0,0,D35/D$4)</f>
        <v>0</v>
      </c>
      <c r="E82" s="29" t="n">
        <f aca="false">IF(E$4=0,0,E35/E$4)</f>
        <v>0.00277040937953752</v>
      </c>
      <c r="F82" s="29" t="n">
        <f aca="false">IF(F$4=0,0,F35/F$4)</f>
        <v>0.000246200815268373</v>
      </c>
      <c r="G82" s="29" t="n">
        <f aca="false">IF(G$4=0,0,G35/G$4)</f>
        <v>0.00111379443585781</v>
      </c>
      <c r="H82" s="29" t="n">
        <f aca="false">IF(H$4=0,0,H35/H$4)</f>
        <v>0.00134638472032742</v>
      </c>
    </row>
    <row r="83" customFormat="false" ht="15" hidden="false" customHeight="false" outlineLevel="0" collapsed="false">
      <c r="A83" s="26" t="s">
        <v>75</v>
      </c>
      <c r="B83" s="30" t="n">
        <f aca="false">IF(B$4=0,0,B36/B$4)</f>
        <v>0</v>
      </c>
      <c r="C83" s="30" t="n">
        <f aca="false">IF(C$4=0,0,C36/C$4)</f>
        <v>0</v>
      </c>
      <c r="D83" s="30" t="n">
        <f aca="false">IF(D$4=0,0,D36/D$4)</f>
        <v>0</v>
      </c>
      <c r="E83" s="30" t="n">
        <f aca="false">IF(E$4=0,0,E36/E$4)</f>
        <v>3.68419912012656E-005</v>
      </c>
      <c r="F83" s="30" t="n">
        <f aca="false">IF(F$4=0,0,F36/F$4)</f>
        <v>2.14903378758677E-005</v>
      </c>
      <c r="G83" s="30" t="n">
        <f aca="false">IF(G$4=0,0,G36/G$4)</f>
        <v>2.12519319938176E-005</v>
      </c>
      <c r="H83" s="30" t="n">
        <f aca="false">IF(H$4=0,0,H36/H$4)</f>
        <v>2.79217826284675E-005</v>
      </c>
    </row>
    <row r="84" customFormat="false" ht="15" hidden="false" customHeight="false" outlineLevel="0" collapsed="false">
      <c r="A84" s="24" t="s">
        <v>76</v>
      </c>
      <c r="B84" s="29" t="n">
        <f aca="false">IF(B$4=0,0,B37/B$4)</f>
        <v>0</v>
      </c>
      <c r="C84" s="29" t="n">
        <f aca="false">IF(C$4=0,0,C37/C$4)</f>
        <v>0</v>
      </c>
      <c r="D84" s="29" t="n">
        <f aca="false">IF(D$4=0,0,D37/D$4)</f>
        <v>0</v>
      </c>
      <c r="E84" s="29" t="n">
        <f aca="false">IF(E$4=0,0,E37/E$4)</f>
        <v>0.000889192293522311</v>
      </c>
      <c r="F84" s="29" t="n">
        <f aca="false">IF(F$4=0,0,F37/F$4)</f>
        <v>0.000590557895993587</v>
      </c>
      <c r="G84" s="29" t="n">
        <f aca="false">IF(G$4=0,0,G37/G$4)</f>
        <v>0.000990146831530139</v>
      </c>
      <c r="H84" s="29" t="n">
        <f aca="false">IF(H$4=0,0,H37/H$4)</f>
        <v>0.000734697589813552</v>
      </c>
    </row>
    <row r="85" customFormat="false" ht="15" hidden="false" customHeight="false" outlineLevel="0" collapsed="false">
      <c r="A85" s="17" t="s">
        <v>16</v>
      </c>
      <c r="B85" s="19" t="n">
        <f aca="false">IF(B$4=0,0,B38/B$4)</f>
        <v>0</v>
      </c>
      <c r="C85" s="19" t="n">
        <f aca="false">IF(C$4=0,0,C38/C$4)</f>
        <v>0</v>
      </c>
      <c r="D85" s="19" t="n">
        <f aca="false">IF(D$4=0,0,D38/D$4)</f>
        <v>0</v>
      </c>
      <c r="E85" s="19" t="n">
        <f aca="false">IF(E$4=0,0,E38/E$4)</f>
        <v>0.128383611815443</v>
      </c>
      <c r="F85" s="19" t="n">
        <f aca="false">IF(F$4=0,0,F38/F$4)</f>
        <v>0.196229554331326</v>
      </c>
      <c r="G85" s="19" t="n">
        <f aca="false">IF(G$4=0,0,G38/G$4)</f>
        <v>0.188052550231839</v>
      </c>
      <c r="H85" s="19" t="n">
        <f aca="false">IF(H$4=0,0,H38/H$4)</f>
        <v>0.167371532514779</v>
      </c>
    </row>
    <row r="86" customFormat="false" ht="15" hidden="false" customHeight="false" outlineLevel="0" collapsed="false">
      <c r="A86" s="17" t="s">
        <v>17</v>
      </c>
      <c r="B86" s="19" t="n">
        <f aca="false">IF(B$4=0,0,B39/B$4)</f>
        <v>0</v>
      </c>
      <c r="C86" s="19" t="n">
        <f aca="false">IF(C$4=0,0,C39/C$4)</f>
        <v>0</v>
      </c>
      <c r="D86" s="19" t="n">
        <f aca="false">IF(D$4=0,0,D39/D$4)</f>
        <v>0</v>
      </c>
      <c r="E86" s="19" t="n">
        <f aca="false">IF(E$4=0,0,E39/E$4)</f>
        <v>0.00455800446438246</v>
      </c>
      <c r="F86" s="19" t="n">
        <f aca="false">IF(F$4=0,0,F39/F$4)</f>
        <v>-0.00344186522488104</v>
      </c>
      <c r="G86" s="19" t="n">
        <f aca="false">IF(G$4=0,0,G39/G$4)</f>
        <v>-0.010193199381762</v>
      </c>
      <c r="H86" s="19" t="n">
        <f aca="false">IF(H$4=0,0,H39/H$4)</f>
        <v>-0.000402364711232379</v>
      </c>
    </row>
    <row r="87" customFormat="false" ht="15" hidden="false" customHeight="false" outlineLevel="0" collapsed="false">
      <c r="A87" s="26" t="s">
        <v>77</v>
      </c>
      <c r="B87" s="30" t="n">
        <f aca="false">IF(B$4=0,0,B40/B$4)</f>
        <v>0</v>
      </c>
      <c r="C87" s="30" t="n">
        <f aca="false">IF(C$4=0,0,C40/C$4)</f>
        <v>0</v>
      </c>
      <c r="D87" s="30" t="n">
        <f aca="false">IF(D$4=0,0,D40/D$4)</f>
        <v>0</v>
      </c>
      <c r="E87" s="30" t="n">
        <f aca="false">IF(E$4=0,0,E40/E$4)</f>
        <v>0.00541295537784713</v>
      </c>
      <c r="F87" s="30" t="n">
        <f aca="false">IF(F$4=0,0,F40/F$4)</f>
        <v>0.00234270266582525</v>
      </c>
      <c r="G87" s="30" t="n">
        <f aca="false">IF(G$4=0,0,G40/G$4)</f>
        <v>0.000316846986089645</v>
      </c>
      <c r="H87" s="30" t="n">
        <f aca="false">IF(H$4=0,0,H40/H$4)</f>
        <v>0.00353583447021373</v>
      </c>
    </row>
    <row r="88" customFormat="false" ht="15" hidden="false" customHeight="false" outlineLevel="0" collapsed="false">
      <c r="A88" s="24" t="s">
        <v>78</v>
      </c>
      <c r="B88" s="29" t="n">
        <f aca="false">IF(B$4=0,0,B41/B$4)</f>
        <v>0</v>
      </c>
      <c r="C88" s="29" t="n">
        <f aca="false">IF(C$4=0,0,C41/C$4)</f>
        <v>0</v>
      </c>
      <c r="D88" s="29" t="n">
        <f aca="false">IF(D$4=0,0,D41/D$4)</f>
        <v>0</v>
      </c>
      <c r="E88" s="29" t="n">
        <f aca="false">IF(E$4=0,0,E41/E$4)</f>
        <v>0.000295277723598379</v>
      </c>
      <c r="F88" s="29" t="n">
        <f aca="false">IF(F$4=0,0,F41/F$4)</f>
        <v>3.3344135355017E-005</v>
      </c>
      <c r="G88" s="29" t="n">
        <f aca="false">IF(G$4=0,0,G41/G$4)</f>
        <v>5.50618238021638E-005</v>
      </c>
      <c r="H88" s="29" t="n">
        <f aca="false">IF(H$4=0,0,H41/H$4)</f>
        <v>0.000144292860391087</v>
      </c>
    </row>
    <row r="89" customFormat="false" ht="15" hidden="false" customHeight="false" outlineLevel="0" collapsed="false">
      <c r="A89" s="26" t="s">
        <v>79</v>
      </c>
      <c r="B89" s="30" t="n">
        <f aca="false">IF(B$4=0,0,B42/B$4)</f>
        <v>0</v>
      </c>
      <c r="C89" s="30" t="n">
        <f aca="false">IF(C$4=0,0,C42/C$4)</f>
        <v>0</v>
      </c>
      <c r="D89" s="30" t="n">
        <f aca="false">IF(D$4=0,0,D42/D$4)</f>
        <v>0</v>
      </c>
      <c r="E89" s="30" t="n">
        <f aca="false">IF(E$4=0,0,E42/E$4)</f>
        <v>3.00153869492664E-005</v>
      </c>
      <c r="F89" s="30" t="n">
        <f aca="false">IF(F$4=0,0,F42/F$4)</f>
        <v>5.34700073340042E-005</v>
      </c>
      <c r="G89" s="30" t="n">
        <f aca="false">IF(G$4=0,0,G42/G$4)</f>
        <v>0</v>
      </c>
      <c r="H89" s="30" t="n">
        <f aca="false">IF(H$4=0,0,H42/H$4)</f>
        <v>4.11095952705775E-005</v>
      </c>
    </row>
    <row r="90" customFormat="false" ht="15" hidden="false" customHeight="false" outlineLevel="0" collapsed="false">
      <c r="A90" s="24" t="s">
        <v>80</v>
      </c>
      <c r="B90" s="29" t="n">
        <f aca="false">IF(B$4=0,0,B43/B$4)</f>
        <v>0</v>
      </c>
      <c r="C90" s="29" t="n">
        <f aca="false">IF(C$4=0,0,C43/C$4)</f>
        <v>0</v>
      </c>
      <c r="D90" s="29" t="n">
        <f aca="false">IF(D$4=0,0,D43/D$4)</f>
        <v>0</v>
      </c>
      <c r="E90" s="29" t="n">
        <f aca="false">IF(E$4=0,0,E43/E$4)</f>
        <v>0</v>
      </c>
      <c r="F90" s="29" t="n">
        <f aca="false">IF(F$4=0,0,F43/F$4)</f>
        <v>0</v>
      </c>
      <c r="G90" s="29" t="n">
        <f aca="false">IF(G$4=0,0,G43/G$4)</f>
        <v>0</v>
      </c>
      <c r="H90" s="29" t="n">
        <f aca="false">IF(H$4=0,0,H43/H$4)</f>
        <v>0</v>
      </c>
    </row>
    <row r="91" customFormat="false" ht="15" hidden="false" customHeight="false" outlineLevel="0" collapsed="false">
      <c r="A91" s="26" t="s">
        <v>81</v>
      </c>
      <c r="B91" s="30" t="n">
        <f aca="false">IF(B$4=0,0,B44/B$4)</f>
        <v>0</v>
      </c>
      <c r="C91" s="30" t="n">
        <f aca="false">IF(C$4=0,0,C44/C$4)</f>
        <v>0</v>
      </c>
      <c r="D91" s="30" t="n">
        <f aca="false">IF(D$4=0,0,D44/D$4)</f>
        <v>0</v>
      </c>
      <c r="E91" s="30" t="n">
        <f aca="false">IF(E$4=0,0,E44/E$4)</f>
        <v>0.00118035238280996</v>
      </c>
      <c r="F91" s="30" t="n">
        <f aca="false">IF(F$4=0,0,F44/F$4)</f>
        <v>0.0058713820333953</v>
      </c>
      <c r="G91" s="30" t="n">
        <f aca="false">IF(G$4=0,0,G44/G$4)</f>
        <v>0.0105660741885626</v>
      </c>
      <c r="H91" s="30" t="n">
        <f aca="false">IF(H$4=0,0,H44/H$4)</f>
        <v>0.00412369258753979</v>
      </c>
    </row>
    <row r="92" customFormat="false" ht="15" hidden="false" customHeight="false" outlineLevel="0" collapsed="false">
      <c r="A92" s="17" t="s">
        <v>82</v>
      </c>
      <c r="B92" s="19" t="n">
        <f aca="false">IF(B$4=0,0,B45/B$4)</f>
        <v>0</v>
      </c>
      <c r="C92" s="19" t="n">
        <f aca="false">IF(C$4=0,0,C45/C$4)</f>
        <v>0</v>
      </c>
      <c r="D92" s="19" t="n">
        <f aca="false">IF(D$4=0,0,D45/D$4)</f>
        <v>0</v>
      </c>
      <c r="E92" s="19" t="n">
        <f aca="false">IF(E$4=0,0,E45/E$4)</f>
        <v>0.132941616279826</v>
      </c>
      <c r="F92" s="19" t="n">
        <f aca="false">IF(F$4=0,0,F45/F$4)</f>
        <v>0.192787774385564</v>
      </c>
      <c r="G92" s="19" t="n">
        <f aca="false">IF(G$4=0,0,G45/G$4)</f>
        <v>0.177859350850077</v>
      </c>
      <c r="H92" s="19" t="n">
        <f aca="false">IF(H$4=0,0,H45/H$4)</f>
        <v>0.166969213278763</v>
      </c>
    </row>
    <row r="93" customFormat="false" ht="15" hidden="false" customHeight="false" outlineLevel="0" collapsed="false">
      <c r="A93" s="26" t="s">
        <v>83</v>
      </c>
      <c r="B93" s="30" t="n">
        <f aca="false">IF(B$4=0,0,B46/B$4)</f>
        <v>0</v>
      </c>
      <c r="C93" s="30" t="n">
        <f aca="false">IF(C$4=0,0,C46/C$4)</f>
        <v>0</v>
      </c>
      <c r="D93" s="30" t="n">
        <f aca="false">IF(D$4=0,0,D46/D$4)</f>
        <v>0</v>
      </c>
      <c r="E93" s="30" t="n">
        <f aca="false">IF(E$4=0,0,E46/E$4)</f>
        <v>0</v>
      </c>
      <c r="F93" s="30" t="n">
        <f aca="false">IF(F$4=0,0,F46/F$4)</f>
        <v>0</v>
      </c>
      <c r="G93" s="30" t="n">
        <f aca="false">IF(G$4=0,0,G46/G$4)</f>
        <v>0</v>
      </c>
      <c r="H93" s="30" t="n">
        <f aca="false">IF(H$4=0,0,H46/H$4)</f>
        <v>0</v>
      </c>
    </row>
    <row r="94" customFormat="false" ht="15" hidden="false" customHeight="false" outlineLevel="0" collapsed="false">
      <c r="A94" s="17" t="s">
        <v>18</v>
      </c>
      <c r="B94" s="19" t="n">
        <f aca="false">IF(B$4=0,0,B47/B$4)</f>
        <v>0</v>
      </c>
      <c r="C94" s="19" t="n">
        <f aca="false">IF(C$4=0,0,C47/C$4)</f>
        <v>0</v>
      </c>
      <c r="D94" s="19" t="n">
        <f aca="false">IF(D$4=0,0,D47/D$4)</f>
        <v>0</v>
      </c>
      <c r="E94" s="19" t="n">
        <f aca="false">IF(E$4=0,0,E47/E$4)</f>
        <v>0.132941616279826</v>
      </c>
      <c r="F94" s="19" t="n">
        <f aca="false">IF(F$4=0,0,F47/F$4)</f>
        <v>0.192787774385564</v>
      </c>
      <c r="G94" s="19" t="n">
        <f aca="false">IF(G$4=0,0,G47/G$4)</f>
        <v>0.177859350850077</v>
      </c>
      <c r="H94" s="19" t="n">
        <f aca="false">IF(H$4=0,0,H47/H$4)</f>
        <v>0.166969213278763</v>
      </c>
    </row>
  </sheetData>
  <mergeCells count="3">
    <mergeCell ref="A1:H1"/>
    <mergeCell ref="A2:H2"/>
    <mergeCell ref="A49:H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8" min="2" style="0" width="16"/>
  </cols>
  <sheetData>
    <row r="1" customFormat="false" ht="24" hidden="false" customHeight="true" outlineLevel="0" collapsed="false">
      <c r="A1" s="21" t="s">
        <v>91</v>
      </c>
      <c r="B1" s="21"/>
      <c r="C1" s="21"/>
      <c r="D1" s="21"/>
      <c r="E1" s="21"/>
      <c r="F1" s="21"/>
      <c r="G1" s="21"/>
      <c r="H1" s="21"/>
    </row>
    <row r="2" customFormat="false" ht="13.5" hidden="false" customHeight="true" outlineLevel="0" collapsed="false">
      <c r="A2" s="2" t="s">
        <v>39</v>
      </c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22" t="s">
        <v>3</v>
      </c>
      <c r="B3" s="23" t="s">
        <v>4</v>
      </c>
      <c r="C3" s="23" t="s">
        <v>5</v>
      </c>
      <c r="D3" s="23" t="s">
        <v>6</v>
      </c>
      <c r="E3" s="23" t="s">
        <v>7</v>
      </c>
      <c r="F3" s="23" t="s">
        <v>8</v>
      </c>
      <c r="G3" s="23" t="s">
        <v>9</v>
      </c>
      <c r="H3" s="23" t="s">
        <v>10</v>
      </c>
    </row>
    <row r="4" customFormat="false" ht="15" hidden="false" customHeight="false" outlineLevel="0" collapsed="false">
      <c r="A4" s="17" t="s">
        <v>12</v>
      </c>
      <c r="B4" s="18" t="n">
        <v>28274</v>
      </c>
      <c r="C4" s="18" t="n">
        <v>180</v>
      </c>
      <c r="D4" s="18" t="n">
        <v>0</v>
      </c>
      <c r="E4" s="18" t="n">
        <v>5970</v>
      </c>
      <c r="F4" s="18" t="n">
        <v>20896.44</v>
      </c>
      <c r="G4" s="18" t="n">
        <v>13791.94</v>
      </c>
      <c r="H4" s="18" t="n">
        <f aca="false">SUM(B4:G4)</f>
        <v>69112.38</v>
      </c>
    </row>
    <row r="5" customFormat="false" ht="15" hidden="false" customHeight="false" outlineLevel="0" collapsed="false">
      <c r="A5" s="24" t="s">
        <v>34</v>
      </c>
      <c r="B5" s="25" t="n">
        <v>28274</v>
      </c>
      <c r="C5" s="25" t="n">
        <v>180</v>
      </c>
      <c r="D5" s="25" t="n">
        <v>0</v>
      </c>
      <c r="E5" s="25" t="n">
        <v>5970</v>
      </c>
      <c r="F5" s="25" t="n">
        <v>21464</v>
      </c>
      <c r="G5" s="25" t="n">
        <v>14599</v>
      </c>
      <c r="H5" s="25" t="n">
        <f aca="false">SUM(B5:G5)</f>
        <v>70487</v>
      </c>
    </row>
    <row r="6" customFormat="false" ht="15" hidden="false" customHeight="false" outlineLevel="0" collapsed="false">
      <c r="A6" s="26" t="s">
        <v>40</v>
      </c>
      <c r="B6" s="27" t="n">
        <v>0</v>
      </c>
      <c r="C6" s="27" t="n">
        <v>0</v>
      </c>
      <c r="D6" s="27" t="n">
        <v>0</v>
      </c>
      <c r="E6" s="27" t="n">
        <v>0</v>
      </c>
      <c r="F6" s="27" t="n">
        <v>-567.56</v>
      </c>
      <c r="G6" s="27" t="n">
        <v>-807.06</v>
      </c>
      <c r="H6" s="27" t="n">
        <f aca="false">SUM(B6:G6)</f>
        <v>-1374.62</v>
      </c>
    </row>
    <row r="7" customFormat="false" ht="15" hidden="false" customHeight="false" outlineLevel="0" collapsed="false">
      <c r="A7" s="17" t="s">
        <v>13</v>
      </c>
      <c r="B7" s="18" t="n">
        <v>29762.29</v>
      </c>
      <c r="C7" s="18" t="n">
        <v>454.88</v>
      </c>
      <c r="D7" s="18" t="n">
        <v>0</v>
      </c>
      <c r="E7" s="18" t="n">
        <v>4918.05</v>
      </c>
      <c r="F7" s="18" t="n">
        <v>24954.14</v>
      </c>
      <c r="G7" s="18" t="n">
        <v>11732.09</v>
      </c>
      <c r="H7" s="18" t="n">
        <f aca="false">SUM(B7:G7)</f>
        <v>71821.45</v>
      </c>
    </row>
    <row r="8" customFormat="false" ht="15" hidden="false" customHeight="false" outlineLevel="0" collapsed="false">
      <c r="A8" s="26" t="s">
        <v>46</v>
      </c>
      <c r="B8" s="27" t="n">
        <v>29762.29</v>
      </c>
      <c r="C8" s="27" t="n">
        <v>454.88</v>
      </c>
      <c r="D8" s="27" t="n">
        <v>0</v>
      </c>
      <c r="E8" s="27" t="n">
        <v>4918.05</v>
      </c>
      <c r="F8" s="27" t="n">
        <v>24954.14</v>
      </c>
      <c r="G8" s="27" t="n">
        <v>11732.09</v>
      </c>
      <c r="H8" s="27" t="n">
        <f aca="false">SUM(B8:G8)</f>
        <v>71821.45</v>
      </c>
    </row>
    <row r="9" customFormat="false" ht="15" hidden="false" customHeight="false" outlineLevel="0" collapsed="false">
      <c r="A9" s="24" t="s">
        <v>49</v>
      </c>
      <c r="B9" s="25" t="n">
        <v>0</v>
      </c>
      <c r="C9" s="25" t="n">
        <v>0</v>
      </c>
      <c r="D9" s="25" t="n">
        <v>0</v>
      </c>
      <c r="E9" s="25" t="n">
        <v>0</v>
      </c>
      <c r="F9" s="25" t="n">
        <v>0</v>
      </c>
      <c r="G9" s="25" t="n">
        <v>0</v>
      </c>
      <c r="H9" s="25" t="n">
        <f aca="false">SUM(B9:G9)</f>
        <v>0</v>
      </c>
    </row>
    <row r="10" customFormat="false" ht="15" hidden="false" customHeight="false" outlineLevel="0" collapsed="false">
      <c r="A10" s="26" t="s">
        <v>50</v>
      </c>
      <c r="B10" s="27" t="n">
        <v>0</v>
      </c>
      <c r="C10" s="27" t="n">
        <v>0</v>
      </c>
      <c r="D10" s="27" t="n">
        <v>0</v>
      </c>
      <c r="E10" s="27" t="n">
        <v>0</v>
      </c>
      <c r="F10" s="27" t="n">
        <v>0</v>
      </c>
      <c r="G10" s="27" t="n">
        <v>0</v>
      </c>
      <c r="H10" s="27" t="n">
        <f aca="false">SUM(B10:G10)</f>
        <v>0</v>
      </c>
    </row>
    <row r="11" customFormat="false" ht="15" hidden="false" customHeight="false" outlineLevel="0" collapsed="false">
      <c r="A11" s="17" t="s">
        <v>14</v>
      </c>
      <c r="B11" s="18" t="n">
        <v>-1488.29</v>
      </c>
      <c r="C11" s="18" t="n">
        <v>-274.88</v>
      </c>
      <c r="D11" s="18" t="n">
        <v>0</v>
      </c>
      <c r="E11" s="18" t="n">
        <v>1051.95</v>
      </c>
      <c r="F11" s="18" t="n">
        <v>-4057.7</v>
      </c>
      <c r="G11" s="18" t="n">
        <v>2059.85</v>
      </c>
      <c r="H11" s="18" t="n">
        <f aca="false">SUM(B11:G11)</f>
        <v>-2709.07</v>
      </c>
    </row>
    <row r="12" customFormat="false" ht="15" hidden="false" customHeight="false" outlineLevel="0" collapsed="false">
      <c r="A12" s="17" t="s">
        <v>15</v>
      </c>
      <c r="B12" s="18" t="n">
        <v>1936.95</v>
      </c>
      <c r="C12" s="18" t="n">
        <v>13.81</v>
      </c>
      <c r="D12" s="18" t="n">
        <v>0</v>
      </c>
      <c r="E12" s="18" t="n">
        <v>434.18</v>
      </c>
      <c r="F12" s="18" t="n">
        <v>817.5</v>
      </c>
      <c r="G12" s="18" t="n">
        <v>638.38</v>
      </c>
      <c r="H12" s="18" t="n">
        <f aca="false">SUM(B12:G12)</f>
        <v>3840.82</v>
      </c>
    </row>
    <row r="13" customFormat="false" ht="15" hidden="false" customHeight="false" outlineLevel="0" collapsed="false">
      <c r="A13" s="24" t="s">
        <v>51</v>
      </c>
      <c r="B13" s="25" t="n">
        <v>277.47</v>
      </c>
      <c r="C13" s="25" t="n">
        <v>4.52</v>
      </c>
      <c r="D13" s="25" t="n">
        <v>0</v>
      </c>
      <c r="E13" s="25" t="n">
        <v>148.62</v>
      </c>
      <c r="F13" s="25" t="n">
        <v>367.87</v>
      </c>
      <c r="G13" s="25" t="n">
        <v>257.35</v>
      </c>
      <c r="H13" s="25" t="n">
        <f aca="false">SUM(B13:G13)</f>
        <v>1055.83</v>
      </c>
    </row>
    <row r="14" customFormat="false" ht="15" hidden="false" customHeight="false" outlineLevel="0" collapsed="false">
      <c r="A14" s="26" t="s">
        <v>52</v>
      </c>
      <c r="B14" s="27" t="n">
        <v>257.5</v>
      </c>
      <c r="C14" s="27" t="n">
        <v>0</v>
      </c>
      <c r="D14" s="27" t="n">
        <v>0</v>
      </c>
      <c r="E14" s="27" t="n">
        <v>0</v>
      </c>
      <c r="F14" s="27" t="n">
        <v>0</v>
      </c>
      <c r="G14" s="27" t="n">
        <v>0</v>
      </c>
      <c r="H14" s="27" t="n">
        <f aca="false">SUM(B14:G14)</f>
        <v>257.5</v>
      </c>
    </row>
    <row r="15" customFormat="false" ht="15" hidden="false" customHeight="false" outlineLevel="0" collapsed="false">
      <c r="A15" s="24" t="s">
        <v>53</v>
      </c>
      <c r="B15" s="25" t="n">
        <v>16.17</v>
      </c>
      <c r="C15" s="25" t="n">
        <v>0.11</v>
      </c>
      <c r="D15" s="25" t="n">
        <v>0</v>
      </c>
      <c r="E15" s="25" t="n">
        <v>2.86</v>
      </c>
      <c r="F15" s="25" t="n">
        <v>10.12</v>
      </c>
      <c r="G15" s="25" t="n">
        <v>7.21</v>
      </c>
      <c r="H15" s="25" t="n">
        <f aca="false">SUM(B15:G15)</f>
        <v>36.47</v>
      </c>
    </row>
    <row r="16" customFormat="false" ht="15" hidden="false" customHeight="false" outlineLevel="0" collapsed="false">
      <c r="A16" s="26" t="s">
        <v>54</v>
      </c>
      <c r="B16" s="27" t="n">
        <v>19.27</v>
      </c>
      <c r="C16" s="27" t="n">
        <v>0.35</v>
      </c>
      <c r="D16" s="27" t="n">
        <v>0</v>
      </c>
      <c r="E16" s="27" t="n">
        <v>11.16</v>
      </c>
      <c r="F16" s="27" t="n">
        <v>28.28</v>
      </c>
      <c r="G16" s="27" t="n">
        <v>19.9</v>
      </c>
      <c r="H16" s="27" t="n">
        <f aca="false">SUM(B16:G16)</f>
        <v>78.96</v>
      </c>
    </row>
    <row r="17" customFormat="false" ht="15" hidden="false" customHeight="false" outlineLevel="0" collapsed="false">
      <c r="A17" s="24" t="s">
        <v>55</v>
      </c>
      <c r="B17" s="25" t="n">
        <v>88.03</v>
      </c>
      <c r="C17" s="25" t="n">
        <v>1.43</v>
      </c>
      <c r="D17" s="25" t="n">
        <v>0</v>
      </c>
      <c r="E17" s="25" t="n">
        <v>41.26</v>
      </c>
      <c r="F17" s="25" t="n">
        <v>88.11</v>
      </c>
      <c r="G17" s="25" t="n">
        <v>90.52</v>
      </c>
      <c r="H17" s="25" t="n">
        <f aca="false">SUM(B17:G17)</f>
        <v>309.35</v>
      </c>
    </row>
    <row r="18" customFormat="false" ht="15" hidden="false" customHeight="false" outlineLevel="0" collapsed="false">
      <c r="A18" s="26" t="s">
        <v>56</v>
      </c>
      <c r="B18" s="27" t="n">
        <v>5.36</v>
      </c>
      <c r="C18" s="27" t="n">
        <v>0</v>
      </c>
      <c r="D18" s="27" t="n">
        <v>0</v>
      </c>
      <c r="E18" s="27" t="n">
        <v>3.83</v>
      </c>
      <c r="F18" s="27" t="n">
        <v>7.6</v>
      </c>
      <c r="G18" s="27" t="n">
        <v>3.19</v>
      </c>
      <c r="H18" s="27" t="n">
        <f aca="false">SUM(B18:G18)</f>
        <v>19.98</v>
      </c>
    </row>
    <row r="19" customFormat="false" ht="15" hidden="false" customHeight="false" outlineLevel="0" collapsed="false">
      <c r="A19" s="24" t="s">
        <v>57</v>
      </c>
      <c r="B19" s="25" t="n">
        <v>0.39</v>
      </c>
      <c r="C19" s="25" t="n">
        <v>0</v>
      </c>
      <c r="D19" s="25" t="n">
        <v>0</v>
      </c>
      <c r="E19" s="25" t="n">
        <v>0.34</v>
      </c>
      <c r="F19" s="25" t="n">
        <v>1.48</v>
      </c>
      <c r="G19" s="25" t="n">
        <v>2.76</v>
      </c>
      <c r="H19" s="25" t="n">
        <f aca="false">SUM(B19:G19)</f>
        <v>4.97</v>
      </c>
    </row>
    <row r="20" customFormat="false" ht="15" hidden="false" customHeight="false" outlineLevel="0" collapsed="false">
      <c r="A20" s="26" t="s">
        <v>58</v>
      </c>
      <c r="B20" s="27" t="n">
        <v>11.26</v>
      </c>
      <c r="C20" s="27" t="n">
        <v>0.08</v>
      </c>
      <c r="D20" s="27" t="n">
        <v>0</v>
      </c>
      <c r="E20" s="27" t="n">
        <v>3.18</v>
      </c>
      <c r="F20" s="27" t="n">
        <v>5.19</v>
      </c>
      <c r="G20" s="27" t="n">
        <v>1.13</v>
      </c>
      <c r="H20" s="27" t="n">
        <f aca="false">SUM(B20:G20)</f>
        <v>20.84</v>
      </c>
    </row>
    <row r="21" customFormat="false" ht="15" hidden="false" customHeight="false" outlineLevel="0" collapsed="false">
      <c r="A21" s="24" t="s">
        <v>59</v>
      </c>
      <c r="B21" s="25" t="n">
        <v>1.51</v>
      </c>
      <c r="C21" s="25" t="n">
        <v>0.01</v>
      </c>
      <c r="D21" s="25" t="n">
        <v>0</v>
      </c>
      <c r="E21" s="25" t="n">
        <v>0.21</v>
      </c>
      <c r="F21" s="25" t="n">
        <v>1.27</v>
      </c>
      <c r="G21" s="25" t="n">
        <v>3.02</v>
      </c>
      <c r="H21" s="25" t="n">
        <f aca="false">SUM(B21:G21)</f>
        <v>6.02</v>
      </c>
    </row>
    <row r="22" customFormat="false" ht="15" hidden="false" customHeight="false" outlineLevel="0" collapsed="false">
      <c r="A22" s="26" t="s">
        <v>60</v>
      </c>
      <c r="B22" s="27" t="n">
        <v>245.89</v>
      </c>
      <c r="C22" s="27" t="n">
        <v>1.63</v>
      </c>
      <c r="D22" s="27" t="n">
        <v>0</v>
      </c>
      <c r="E22" s="27" t="n">
        <v>43.68</v>
      </c>
      <c r="F22" s="27" t="n">
        <v>89.34</v>
      </c>
      <c r="G22" s="27" t="n">
        <v>69.11</v>
      </c>
      <c r="H22" s="27" t="n">
        <f aca="false">SUM(B22:G22)</f>
        <v>449.65</v>
      </c>
    </row>
    <row r="23" customFormat="false" ht="15" hidden="false" customHeight="false" outlineLevel="0" collapsed="false">
      <c r="A23" s="24" t="s">
        <v>61</v>
      </c>
      <c r="B23" s="25" t="n">
        <v>168.76</v>
      </c>
      <c r="C23" s="25" t="n">
        <v>1.22</v>
      </c>
      <c r="D23" s="25" t="n">
        <v>0</v>
      </c>
      <c r="E23" s="25" t="n">
        <v>51.46</v>
      </c>
      <c r="F23" s="25" t="n">
        <v>75.74</v>
      </c>
      <c r="G23" s="25" t="n">
        <v>59.87</v>
      </c>
      <c r="H23" s="25" t="n">
        <f aca="false">SUM(B23:G23)</f>
        <v>357.05</v>
      </c>
    </row>
    <row r="24" customFormat="false" ht="15" hidden="false" customHeight="false" outlineLevel="0" collapsed="false">
      <c r="A24" s="26" t="s">
        <v>62</v>
      </c>
      <c r="B24" s="27" t="n">
        <v>62.16</v>
      </c>
      <c r="C24" s="27" t="n">
        <v>0.47</v>
      </c>
      <c r="D24" s="27" t="n">
        <v>0</v>
      </c>
      <c r="E24" s="27" t="n">
        <v>28.22</v>
      </c>
      <c r="F24" s="27" t="n">
        <v>95.58</v>
      </c>
      <c r="G24" s="27" t="n">
        <v>55.19</v>
      </c>
      <c r="H24" s="27" t="n">
        <f aca="false">SUM(B24:G24)</f>
        <v>241.62</v>
      </c>
    </row>
    <row r="25" customFormat="false" ht="15" hidden="false" customHeight="false" outlineLevel="0" collapsed="false">
      <c r="A25" s="24" t="s">
        <v>63</v>
      </c>
      <c r="B25" s="25" t="n">
        <v>15.56</v>
      </c>
      <c r="C25" s="25" t="n">
        <v>0.1</v>
      </c>
      <c r="D25" s="25" t="n">
        <v>0</v>
      </c>
      <c r="E25" s="25" t="n">
        <v>2.01</v>
      </c>
      <c r="F25" s="25" t="n">
        <v>4.03</v>
      </c>
      <c r="G25" s="25" t="n">
        <v>3.49</v>
      </c>
      <c r="H25" s="25" t="n">
        <f aca="false">SUM(B25:G25)</f>
        <v>25.19</v>
      </c>
    </row>
    <row r="26" customFormat="false" ht="15" hidden="false" customHeight="false" outlineLevel="0" collapsed="false">
      <c r="A26" s="26" t="s">
        <v>64</v>
      </c>
      <c r="B26" s="27" t="n">
        <v>12.29</v>
      </c>
      <c r="C26" s="27" t="n">
        <v>0.07</v>
      </c>
      <c r="D26" s="27" t="n">
        <v>0</v>
      </c>
      <c r="E26" s="27" t="n">
        <v>1.93</v>
      </c>
      <c r="F26" s="27" t="n">
        <v>3.94</v>
      </c>
      <c r="G26" s="27" t="n">
        <v>2.62</v>
      </c>
      <c r="H26" s="27" t="n">
        <f aca="false">SUM(B26:G26)</f>
        <v>20.85</v>
      </c>
    </row>
    <row r="27" customFormat="false" ht="15" hidden="false" customHeight="false" outlineLevel="0" collapsed="false">
      <c r="A27" s="24" t="s">
        <v>65</v>
      </c>
      <c r="B27" s="25" t="n">
        <v>31.89</v>
      </c>
      <c r="C27" s="25" t="n">
        <v>0.14</v>
      </c>
      <c r="D27" s="25" t="n">
        <v>0</v>
      </c>
      <c r="E27" s="25" t="n">
        <v>5.33</v>
      </c>
      <c r="F27" s="25" t="n">
        <v>1.61</v>
      </c>
      <c r="G27" s="25" t="n">
        <v>0.71</v>
      </c>
      <c r="H27" s="25" t="n">
        <f aca="false">SUM(B27:G27)</f>
        <v>39.68</v>
      </c>
    </row>
    <row r="28" customFormat="false" ht="15" hidden="false" customHeight="false" outlineLevel="0" collapsed="false">
      <c r="A28" s="26" t="s">
        <v>66</v>
      </c>
      <c r="B28" s="27" t="n">
        <v>552.37</v>
      </c>
      <c r="C28" s="27" t="n">
        <v>2.88</v>
      </c>
      <c r="D28" s="27" t="n">
        <v>0</v>
      </c>
      <c r="E28" s="27" t="n">
        <v>50.98</v>
      </c>
      <c r="F28" s="27" t="n">
        <v>0</v>
      </c>
      <c r="G28" s="27" t="n">
        <v>0</v>
      </c>
      <c r="H28" s="27" t="n">
        <f aca="false">SUM(B28:G28)</f>
        <v>606.23</v>
      </c>
    </row>
    <row r="29" customFormat="false" ht="15" hidden="false" customHeight="false" outlineLevel="0" collapsed="false">
      <c r="A29" s="24" t="s">
        <v>67</v>
      </c>
      <c r="B29" s="25" t="n">
        <v>0</v>
      </c>
      <c r="C29" s="25" t="n">
        <v>0</v>
      </c>
      <c r="D29" s="25" t="n">
        <v>0</v>
      </c>
      <c r="E29" s="25" t="n">
        <v>0</v>
      </c>
      <c r="F29" s="25" t="n">
        <v>0</v>
      </c>
      <c r="G29" s="25" t="n">
        <v>0</v>
      </c>
      <c r="H29" s="25" t="n">
        <f aca="false">SUM(B29:G29)</f>
        <v>0</v>
      </c>
    </row>
    <row r="30" customFormat="false" ht="15" hidden="false" customHeight="false" outlineLevel="0" collapsed="false">
      <c r="A30" s="26" t="s">
        <v>68</v>
      </c>
      <c r="B30" s="27" t="n">
        <v>14.08</v>
      </c>
      <c r="C30" s="27" t="n">
        <v>0.09</v>
      </c>
      <c r="D30" s="27" t="n">
        <v>0</v>
      </c>
      <c r="E30" s="27" t="n">
        <v>2.2</v>
      </c>
      <c r="F30" s="27" t="n">
        <v>4.5</v>
      </c>
      <c r="G30" s="27" t="n">
        <v>2.99</v>
      </c>
      <c r="H30" s="27" t="n">
        <f aca="false">SUM(B30:G30)</f>
        <v>23.86</v>
      </c>
    </row>
    <row r="31" customFormat="false" ht="15" hidden="false" customHeight="false" outlineLevel="0" collapsed="false">
      <c r="A31" s="24" t="s">
        <v>69</v>
      </c>
      <c r="B31" s="25" t="n">
        <v>6.07</v>
      </c>
      <c r="C31" s="25" t="n">
        <v>0.02</v>
      </c>
      <c r="D31" s="25" t="n">
        <v>0</v>
      </c>
      <c r="E31" s="25" t="n">
        <v>1.9</v>
      </c>
      <c r="F31" s="25" t="n">
        <v>2.44</v>
      </c>
      <c r="G31" s="25" t="n">
        <v>1.91</v>
      </c>
      <c r="H31" s="25" t="n">
        <f aca="false">SUM(B31:G31)</f>
        <v>12.34</v>
      </c>
    </row>
    <row r="32" customFormat="false" ht="15" hidden="false" customHeight="false" outlineLevel="0" collapsed="false">
      <c r="A32" s="26" t="s">
        <v>70</v>
      </c>
      <c r="B32" s="27" t="n">
        <v>1.53</v>
      </c>
      <c r="C32" s="27" t="n">
        <v>0.03</v>
      </c>
      <c r="D32" s="27" t="n">
        <v>0</v>
      </c>
      <c r="E32" s="27" t="n">
        <v>0.7</v>
      </c>
      <c r="F32" s="27" t="n">
        <v>2.2</v>
      </c>
      <c r="G32" s="27" t="n">
        <v>0.97</v>
      </c>
      <c r="H32" s="27" t="n">
        <f aca="false">SUM(B32:G32)</f>
        <v>5.43</v>
      </c>
    </row>
    <row r="33" customFormat="false" ht="15" hidden="false" customHeight="false" outlineLevel="0" collapsed="false">
      <c r="A33" s="24" t="s">
        <v>71</v>
      </c>
      <c r="B33" s="25" t="n">
        <v>1.48</v>
      </c>
      <c r="C33" s="25" t="n">
        <v>0</v>
      </c>
      <c r="D33" s="25" t="n">
        <v>0</v>
      </c>
      <c r="E33" s="25" t="n">
        <v>0.07</v>
      </c>
      <c r="F33" s="25" t="n">
        <v>0</v>
      </c>
      <c r="G33" s="25" t="n">
        <v>0.06</v>
      </c>
      <c r="H33" s="25" t="n">
        <f aca="false">SUM(B33:G33)</f>
        <v>1.61</v>
      </c>
    </row>
    <row r="34" customFormat="false" ht="15" hidden="false" customHeight="false" outlineLevel="0" collapsed="false">
      <c r="A34" s="26" t="s">
        <v>72</v>
      </c>
      <c r="B34" s="27" t="n">
        <v>8.56</v>
      </c>
      <c r="C34" s="27" t="n">
        <v>0.05</v>
      </c>
      <c r="D34" s="27" t="n">
        <v>0</v>
      </c>
      <c r="E34" s="27" t="n">
        <v>3.36</v>
      </c>
      <c r="F34" s="27" t="n">
        <v>3.89</v>
      </c>
      <c r="G34" s="27" t="n">
        <v>5.64</v>
      </c>
      <c r="H34" s="27" t="n">
        <f aca="false">SUM(B34:G34)</f>
        <v>21.5</v>
      </c>
    </row>
    <row r="35" customFormat="false" ht="15" hidden="false" customHeight="false" outlineLevel="0" collapsed="false">
      <c r="A35" s="24" t="s">
        <v>73</v>
      </c>
      <c r="B35" s="25" t="n">
        <v>10.34</v>
      </c>
      <c r="C35" s="25" t="n">
        <v>0.06</v>
      </c>
      <c r="D35" s="25" t="n">
        <v>0</v>
      </c>
      <c r="E35" s="25" t="n">
        <v>5.67</v>
      </c>
      <c r="F35" s="25" t="n">
        <v>2</v>
      </c>
      <c r="G35" s="25" t="n">
        <v>7.43</v>
      </c>
      <c r="H35" s="25" t="n">
        <f aca="false">SUM(B35:G35)</f>
        <v>25.5</v>
      </c>
    </row>
    <row r="36" customFormat="false" ht="15" hidden="false" customHeight="false" outlineLevel="0" collapsed="false">
      <c r="A36" s="26" t="s">
        <v>74</v>
      </c>
      <c r="B36" s="27" t="n">
        <v>0</v>
      </c>
      <c r="C36" s="27" t="n">
        <v>0.22</v>
      </c>
      <c r="D36" s="27" t="n">
        <v>0</v>
      </c>
      <c r="E36" s="27" t="n">
        <v>16.54</v>
      </c>
      <c r="F36" s="27" t="n">
        <v>5.15</v>
      </c>
      <c r="G36" s="27" t="n">
        <v>15.36</v>
      </c>
      <c r="H36" s="27" t="n">
        <f aca="false">SUM(B36:G36)</f>
        <v>37.27</v>
      </c>
    </row>
    <row r="37" customFormat="false" ht="15" hidden="false" customHeight="false" outlineLevel="0" collapsed="false">
      <c r="A37" s="24" t="s">
        <v>75</v>
      </c>
      <c r="B37" s="25" t="n">
        <v>1.41</v>
      </c>
      <c r="C37" s="25" t="n">
        <v>0.01</v>
      </c>
      <c r="D37" s="25" t="n">
        <v>0</v>
      </c>
      <c r="E37" s="25" t="n">
        <v>0.22</v>
      </c>
      <c r="F37" s="25" t="n">
        <v>0.45</v>
      </c>
      <c r="G37" s="25" t="n">
        <v>0.3</v>
      </c>
      <c r="H37" s="25" t="n">
        <f aca="false">SUM(B37:G37)</f>
        <v>2.39</v>
      </c>
    </row>
    <row r="38" customFormat="false" ht="15" hidden="false" customHeight="false" outlineLevel="0" collapsed="false">
      <c r="A38" s="26" t="s">
        <v>76</v>
      </c>
      <c r="B38" s="27" t="n">
        <v>113.34</v>
      </c>
      <c r="C38" s="27" t="n">
        <v>0.23</v>
      </c>
      <c r="D38" s="27" t="n">
        <v>0</v>
      </c>
      <c r="E38" s="27" t="n">
        <v>5.31</v>
      </c>
      <c r="F38" s="27" t="n">
        <v>12.34</v>
      </c>
      <c r="G38" s="27" t="n">
        <v>13.66</v>
      </c>
      <c r="H38" s="27" t="n">
        <f aca="false">SUM(B38:G38)</f>
        <v>144.88</v>
      </c>
    </row>
    <row r="39" customFormat="false" ht="15" hidden="false" customHeight="false" outlineLevel="0" collapsed="false">
      <c r="A39" s="17" t="s">
        <v>16</v>
      </c>
      <c r="B39" s="18" t="n">
        <v>-3425.24</v>
      </c>
      <c r="C39" s="18" t="n">
        <v>-288.69</v>
      </c>
      <c r="D39" s="18" t="n">
        <v>0</v>
      </c>
      <c r="E39" s="18" t="n">
        <v>617.77</v>
      </c>
      <c r="F39" s="18" t="n">
        <v>-4875.21</v>
      </c>
      <c r="G39" s="18" t="n">
        <v>1421.47</v>
      </c>
      <c r="H39" s="18" t="n">
        <f aca="false">SUM(B39:G39)</f>
        <v>-6549.9</v>
      </c>
    </row>
    <row r="40" customFormat="false" ht="15" hidden="false" customHeight="false" outlineLevel="0" collapsed="false">
      <c r="A40" s="17" t="s">
        <v>17</v>
      </c>
      <c r="B40" s="18" t="n">
        <v>-13.73</v>
      </c>
      <c r="C40" s="18" t="n">
        <v>0.86</v>
      </c>
      <c r="D40" s="18" t="n">
        <v>0</v>
      </c>
      <c r="E40" s="18" t="n">
        <v>27.21</v>
      </c>
      <c r="F40" s="18" t="n">
        <v>-71.92</v>
      </c>
      <c r="G40" s="18" t="n">
        <v>-140.59</v>
      </c>
      <c r="H40" s="18" t="n">
        <f aca="false">SUM(B40:G40)</f>
        <v>-198.17</v>
      </c>
    </row>
    <row r="41" customFormat="false" ht="15" hidden="false" customHeight="false" outlineLevel="0" collapsed="false">
      <c r="A41" s="24" t="s">
        <v>77</v>
      </c>
      <c r="B41" s="25" t="n">
        <v>0</v>
      </c>
      <c r="C41" s="25" t="n">
        <v>1.63</v>
      </c>
      <c r="D41" s="25" t="n">
        <v>0</v>
      </c>
      <c r="E41" s="25" t="n">
        <v>32.32</v>
      </c>
      <c r="F41" s="25" t="n">
        <v>48.95</v>
      </c>
      <c r="G41" s="25" t="n">
        <v>4.37</v>
      </c>
      <c r="H41" s="25" t="n">
        <f aca="false">SUM(B41:G41)</f>
        <v>87.27</v>
      </c>
    </row>
    <row r="42" customFormat="false" ht="15" hidden="false" customHeight="false" outlineLevel="0" collapsed="false">
      <c r="A42" s="26" t="s">
        <v>78</v>
      </c>
      <c r="B42" s="27" t="n">
        <v>9.74</v>
      </c>
      <c r="C42" s="27" t="n">
        <v>0.13</v>
      </c>
      <c r="D42" s="27" t="n">
        <v>0</v>
      </c>
      <c r="E42" s="27" t="n">
        <v>1.76</v>
      </c>
      <c r="F42" s="27" t="n">
        <v>0.7</v>
      </c>
      <c r="G42" s="27" t="n">
        <v>0.76</v>
      </c>
      <c r="H42" s="27" t="n">
        <f aca="false">SUM(B42:G42)</f>
        <v>13.09</v>
      </c>
    </row>
    <row r="43" customFormat="false" ht="15" hidden="false" customHeight="false" outlineLevel="0" collapsed="false">
      <c r="A43" s="24" t="s">
        <v>79</v>
      </c>
      <c r="B43" s="25" t="n">
        <v>0.03</v>
      </c>
      <c r="C43" s="25" t="n">
        <v>0</v>
      </c>
      <c r="D43" s="25" t="n">
        <v>0</v>
      </c>
      <c r="E43" s="25" t="n">
        <v>0.18</v>
      </c>
      <c r="F43" s="25" t="n">
        <v>1.12</v>
      </c>
      <c r="G43" s="25" t="n">
        <v>0</v>
      </c>
      <c r="H43" s="25" t="n">
        <f aca="false">SUM(B43:G43)</f>
        <v>1.33</v>
      </c>
    </row>
    <row r="44" customFormat="false" ht="15" hidden="false" customHeight="false" outlineLevel="0" collapsed="false">
      <c r="A44" s="26" t="s">
        <v>80</v>
      </c>
      <c r="B44" s="27" t="n">
        <v>0</v>
      </c>
      <c r="C44" s="27" t="n">
        <v>0</v>
      </c>
      <c r="D44" s="27" t="n">
        <v>0</v>
      </c>
      <c r="E44" s="27" t="n">
        <v>0</v>
      </c>
      <c r="F44" s="27" t="n">
        <v>0</v>
      </c>
      <c r="G44" s="27" t="n">
        <v>0</v>
      </c>
      <c r="H44" s="27" t="n">
        <f aca="false">SUM(B44:G44)</f>
        <v>0</v>
      </c>
    </row>
    <row r="45" customFormat="false" ht="15" hidden="false" customHeight="false" outlineLevel="0" collapsed="false">
      <c r="A45" s="24" t="s">
        <v>81</v>
      </c>
      <c r="B45" s="25" t="n">
        <v>23.5</v>
      </c>
      <c r="C45" s="25" t="n">
        <v>0.91</v>
      </c>
      <c r="D45" s="25" t="n">
        <v>0</v>
      </c>
      <c r="E45" s="25" t="n">
        <v>7.05</v>
      </c>
      <c r="F45" s="25" t="n">
        <v>122.69</v>
      </c>
      <c r="G45" s="25" t="n">
        <v>145.73</v>
      </c>
      <c r="H45" s="25" t="n">
        <f aca="false">SUM(B45:G45)</f>
        <v>299.88</v>
      </c>
    </row>
    <row r="46" customFormat="false" ht="15" hidden="false" customHeight="false" outlineLevel="0" collapsed="false">
      <c r="A46" s="17" t="s">
        <v>82</v>
      </c>
      <c r="B46" s="18" t="n">
        <v>-3438.97</v>
      </c>
      <c r="C46" s="18" t="n">
        <v>-287.84</v>
      </c>
      <c r="D46" s="18" t="n">
        <v>0</v>
      </c>
      <c r="E46" s="18" t="n">
        <v>644.98</v>
      </c>
      <c r="F46" s="18" t="n">
        <v>-4947.13</v>
      </c>
      <c r="G46" s="18" t="n">
        <v>1280.88</v>
      </c>
      <c r="H46" s="18" t="n">
        <f aca="false">SUM(B46:G46)</f>
        <v>-6748.08</v>
      </c>
    </row>
    <row r="47" customFormat="false" ht="15" hidden="false" customHeight="false" outlineLevel="0" collapsed="false">
      <c r="A47" s="24" t="s">
        <v>83</v>
      </c>
      <c r="B47" s="25" t="n">
        <v>0</v>
      </c>
      <c r="C47" s="25" t="n">
        <v>0</v>
      </c>
      <c r="D47" s="25" t="n">
        <v>0</v>
      </c>
      <c r="E47" s="25" t="n">
        <v>0</v>
      </c>
      <c r="F47" s="25" t="n">
        <v>0</v>
      </c>
      <c r="G47" s="25" t="n">
        <v>0</v>
      </c>
      <c r="H47" s="25" t="n">
        <f aca="false">SUM(B47:G47)</f>
        <v>0</v>
      </c>
    </row>
    <row r="48" customFormat="false" ht="15" hidden="false" customHeight="false" outlineLevel="0" collapsed="false">
      <c r="A48" s="11" t="s">
        <v>18</v>
      </c>
      <c r="B48" s="28" t="n">
        <v>-3438.97</v>
      </c>
      <c r="C48" s="28" t="n">
        <v>-287.84</v>
      </c>
      <c r="D48" s="28" t="n">
        <v>0</v>
      </c>
      <c r="E48" s="28" t="n">
        <v>644.98</v>
      </c>
      <c r="F48" s="28" t="n">
        <v>-4947.13</v>
      </c>
      <c r="G48" s="28" t="n">
        <v>1280.88</v>
      </c>
      <c r="H48" s="28" t="n">
        <f aca="false">SUM(B48:G48)</f>
        <v>-6748.08</v>
      </c>
    </row>
    <row r="50" customFormat="false" ht="15" hidden="false" customHeight="false" outlineLevel="0" collapsed="false">
      <c r="A50" s="3" t="s">
        <v>84</v>
      </c>
      <c r="B50" s="3"/>
      <c r="C50" s="3"/>
      <c r="D50" s="3"/>
      <c r="E50" s="3"/>
      <c r="F50" s="3"/>
      <c r="G50" s="3"/>
      <c r="H50" s="3"/>
    </row>
    <row r="51" customFormat="false" ht="15" hidden="false" customHeight="false" outlineLevel="0" collapsed="false">
      <c r="A51" s="22" t="s">
        <v>3</v>
      </c>
      <c r="B51" s="23" t="s">
        <v>4</v>
      </c>
      <c r="C51" s="23" t="s">
        <v>5</v>
      </c>
      <c r="D51" s="23" t="s">
        <v>6</v>
      </c>
      <c r="E51" s="23" t="s">
        <v>7</v>
      </c>
      <c r="F51" s="23" t="s">
        <v>8</v>
      </c>
      <c r="G51" s="23" t="s">
        <v>9</v>
      </c>
      <c r="H51" s="23" t="s">
        <v>10</v>
      </c>
    </row>
    <row r="52" customFormat="false" ht="15" hidden="false" customHeight="false" outlineLevel="0" collapsed="false">
      <c r="A52" s="17" t="s">
        <v>12</v>
      </c>
      <c r="B52" s="19" t="n">
        <f aca="false">IF(B$4=0,0,B4/B$4)</f>
        <v>1</v>
      </c>
      <c r="C52" s="19" t="n">
        <f aca="false">IF(C$4=0,0,C4/C$4)</f>
        <v>1</v>
      </c>
      <c r="D52" s="19" t="n">
        <f aca="false">IF(D$4=0,0,D4/D$4)</f>
        <v>0</v>
      </c>
      <c r="E52" s="19" t="n">
        <f aca="false">IF(E$4=0,0,E4/E$4)</f>
        <v>1</v>
      </c>
      <c r="F52" s="19" t="n">
        <f aca="false">IF(F$4=0,0,F4/F$4)</f>
        <v>1</v>
      </c>
      <c r="G52" s="19" t="n">
        <f aca="false">IF(G$4=0,0,G4/G$4)</f>
        <v>1</v>
      </c>
      <c r="H52" s="19" t="n">
        <f aca="false">IF(H$4=0,0,H4/H$4)</f>
        <v>1</v>
      </c>
    </row>
    <row r="53" customFormat="false" ht="15" hidden="false" customHeight="false" outlineLevel="0" collapsed="false">
      <c r="A53" s="24" t="s">
        <v>34</v>
      </c>
      <c r="B53" s="29" t="n">
        <f aca="false">IF(B$4=0,0,B5/B$4)</f>
        <v>1</v>
      </c>
      <c r="C53" s="29" t="n">
        <f aca="false">IF(C$4=0,0,C5/C$4)</f>
        <v>1</v>
      </c>
      <c r="D53" s="29" t="n">
        <f aca="false">IF(D$4=0,0,D5/D$4)</f>
        <v>0</v>
      </c>
      <c r="E53" s="29" t="n">
        <f aca="false">IF(E$4=0,0,E5/E$4)</f>
        <v>1</v>
      </c>
      <c r="F53" s="29" t="n">
        <f aca="false">IF(F$4=0,0,F5/F$4)</f>
        <v>1.02716060726133</v>
      </c>
      <c r="G53" s="29" t="n">
        <f aca="false">IF(G$4=0,0,G5/G$4)</f>
        <v>1.05851678589089</v>
      </c>
      <c r="H53" s="29" t="n">
        <f aca="false">IF(H$4=0,0,H5/H$4)</f>
        <v>1.01988963482375</v>
      </c>
    </row>
    <row r="54" customFormat="false" ht="15" hidden="false" customHeight="false" outlineLevel="0" collapsed="false">
      <c r="A54" s="26" t="s">
        <v>40</v>
      </c>
      <c r="B54" s="30" t="n">
        <f aca="false">IF(B$4=0,0,B6/B$4)</f>
        <v>0</v>
      </c>
      <c r="C54" s="30" t="n">
        <f aca="false">IF(C$4=0,0,C6/C$4)</f>
        <v>0</v>
      </c>
      <c r="D54" s="30" t="n">
        <f aca="false">IF(D$4=0,0,D6/D$4)</f>
        <v>0</v>
      </c>
      <c r="E54" s="30" t="n">
        <f aca="false">IF(E$4=0,0,E6/E$4)</f>
        <v>0</v>
      </c>
      <c r="F54" s="30" t="n">
        <f aca="false">IF(F$4=0,0,F6/F$4)</f>
        <v>-0.0271606072613326</v>
      </c>
      <c r="G54" s="30" t="n">
        <f aca="false">IF(G$4=0,0,G6/G$4)</f>
        <v>-0.0585167858908899</v>
      </c>
      <c r="H54" s="30" t="n">
        <f aca="false">IF(H$4=0,0,H6/H$4)</f>
        <v>-0.0198896348237465</v>
      </c>
    </row>
    <row r="55" customFormat="false" ht="15" hidden="false" customHeight="false" outlineLevel="0" collapsed="false">
      <c r="A55" s="17" t="s">
        <v>13</v>
      </c>
      <c r="B55" s="19" t="n">
        <f aca="false">IF(B$4=0,0,B7/B$4)</f>
        <v>1.05263811275377</v>
      </c>
      <c r="C55" s="19" t="n">
        <f aca="false">IF(C$4=0,0,C7/C$4)</f>
        <v>2.52711111111111</v>
      </c>
      <c r="D55" s="19" t="n">
        <f aca="false">IF(D$4=0,0,D7/D$4)</f>
        <v>0</v>
      </c>
      <c r="E55" s="19" t="n">
        <f aca="false">IF(E$4=0,0,E7/E$4)</f>
        <v>0.823793969849246</v>
      </c>
      <c r="F55" s="19" t="n">
        <f aca="false">IF(F$4=0,0,F7/F$4)</f>
        <v>1.19418140123389</v>
      </c>
      <c r="G55" s="19" t="n">
        <f aca="false">IF(G$4=0,0,G7/G$4)</f>
        <v>0.85064827718218</v>
      </c>
      <c r="H55" s="19" t="n">
        <f aca="false">IF(H$4=0,0,H7/H$4)</f>
        <v>1.03919804237678</v>
      </c>
    </row>
    <row r="56" customFormat="false" ht="15" hidden="false" customHeight="false" outlineLevel="0" collapsed="false">
      <c r="A56" s="26" t="s">
        <v>46</v>
      </c>
      <c r="B56" s="30" t="n">
        <f aca="false">IF(B$4=0,0,B8/B$4)</f>
        <v>1.05263811275377</v>
      </c>
      <c r="C56" s="30" t="n">
        <f aca="false">IF(C$4=0,0,C8/C$4)</f>
        <v>2.52711111111111</v>
      </c>
      <c r="D56" s="30" t="n">
        <f aca="false">IF(D$4=0,0,D8/D$4)</f>
        <v>0</v>
      </c>
      <c r="E56" s="30" t="n">
        <f aca="false">IF(E$4=0,0,E8/E$4)</f>
        <v>0.823793969849246</v>
      </c>
      <c r="F56" s="30" t="n">
        <f aca="false">IF(F$4=0,0,F8/F$4)</f>
        <v>1.19418140123389</v>
      </c>
      <c r="G56" s="30" t="n">
        <f aca="false">IF(G$4=0,0,G8/G$4)</f>
        <v>0.85064827718218</v>
      </c>
      <c r="H56" s="30" t="n">
        <f aca="false">IF(H$4=0,0,H8/H$4)</f>
        <v>1.03919804237678</v>
      </c>
    </row>
    <row r="57" customFormat="false" ht="15" hidden="false" customHeight="false" outlineLevel="0" collapsed="false">
      <c r="A57" s="24" t="s">
        <v>49</v>
      </c>
      <c r="B57" s="29" t="n">
        <f aca="false">IF(B$4=0,0,B9/B$4)</f>
        <v>0</v>
      </c>
      <c r="C57" s="29" t="n">
        <f aca="false">IF(C$4=0,0,C9/C$4)</f>
        <v>0</v>
      </c>
      <c r="D57" s="29" t="n">
        <f aca="false">IF(D$4=0,0,D9/D$4)</f>
        <v>0</v>
      </c>
      <c r="E57" s="29" t="n">
        <f aca="false">IF(E$4=0,0,E9/E$4)</f>
        <v>0</v>
      </c>
      <c r="F57" s="29" t="n">
        <f aca="false">IF(F$4=0,0,F9/F$4)</f>
        <v>0</v>
      </c>
      <c r="G57" s="29" t="n">
        <f aca="false">IF(G$4=0,0,G9/G$4)</f>
        <v>0</v>
      </c>
      <c r="H57" s="29" t="n">
        <f aca="false">IF(H$4=0,0,H9/H$4)</f>
        <v>0</v>
      </c>
    </row>
    <row r="58" customFormat="false" ht="15" hidden="false" customHeight="false" outlineLevel="0" collapsed="false">
      <c r="A58" s="26" t="s">
        <v>50</v>
      </c>
      <c r="B58" s="30" t="n">
        <f aca="false">IF(B$4=0,0,B10/B$4)</f>
        <v>0</v>
      </c>
      <c r="C58" s="30" t="n">
        <f aca="false">IF(C$4=0,0,C10/C$4)</f>
        <v>0</v>
      </c>
      <c r="D58" s="30" t="n">
        <f aca="false">IF(D$4=0,0,D10/D$4)</f>
        <v>0</v>
      </c>
      <c r="E58" s="30" t="n">
        <f aca="false">IF(E$4=0,0,E10/E$4)</f>
        <v>0</v>
      </c>
      <c r="F58" s="30" t="n">
        <f aca="false">IF(F$4=0,0,F10/F$4)</f>
        <v>0</v>
      </c>
      <c r="G58" s="30" t="n">
        <f aca="false">IF(G$4=0,0,G10/G$4)</f>
        <v>0</v>
      </c>
      <c r="H58" s="30" t="n">
        <f aca="false">IF(H$4=0,0,H10/H$4)</f>
        <v>0</v>
      </c>
    </row>
    <row r="59" customFormat="false" ht="15" hidden="false" customHeight="false" outlineLevel="0" collapsed="false">
      <c r="A59" s="17" t="s">
        <v>14</v>
      </c>
      <c r="B59" s="19" t="n">
        <f aca="false">IF(B$4=0,0,B11/B$4)</f>
        <v>-0.0526381127537667</v>
      </c>
      <c r="C59" s="19" t="n">
        <f aca="false">IF(C$4=0,0,C11/C$4)</f>
        <v>-1.52711111111111</v>
      </c>
      <c r="D59" s="19" t="n">
        <f aca="false">IF(D$4=0,0,D11/D$4)</f>
        <v>0</v>
      </c>
      <c r="E59" s="19" t="n">
        <f aca="false">IF(E$4=0,0,E11/E$4)</f>
        <v>0.176206030150754</v>
      </c>
      <c r="F59" s="19" t="n">
        <f aca="false">IF(F$4=0,0,F11/F$4)</f>
        <v>-0.194181401233894</v>
      </c>
      <c r="G59" s="19" t="n">
        <f aca="false">IF(G$4=0,0,G11/G$4)</f>
        <v>0.14935172281782</v>
      </c>
      <c r="H59" s="19" t="n">
        <f aca="false">IF(H$4=0,0,H11/H$4)</f>
        <v>-0.0391980423767782</v>
      </c>
    </row>
    <row r="60" customFormat="false" ht="15" hidden="false" customHeight="false" outlineLevel="0" collapsed="false">
      <c r="A60" s="17" t="s">
        <v>15</v>
      </c>
      <c r="B60" s="19" t="n">
        <f aca="false">IF(B$4=0,0,B12/B$4)</f>
        <v>0.0685064016410837</v>
      </c>
      <c r="C60" s="19" t="n">
        <f aca="false">IF(C$4=0,0,C12/C$4)</f>
        <v>0.0767222222222222</v>
      </c>
      <c r="D60" s="19" t="n">
        <f aca="false">IF(D$4=0,0,D12/D$4)</f>
        <v>0</v>
      </c>
      <c r="E60" s="19" t="n">
        <f aca="false">IF(E$4=0,0,E12/E$4)</f>
        <v>0.0727269681742044</v>
      </c>
      <c r="F60" s="19" t="n">
        <f aca="false">IF(F$4=0,0,F12/F$4)</f>
        <v>0.0391214962931485</v>
      </c>
      <c r="G60" s="19" t="n">
        <f aca="false">IF(G$4=0,0,G12/G$4)</f>
        <v>0.046286454262417</v>
      </c>
      <c r="H60" s="19" t="n">
        <f aca="false">IF(H$4=0,0,H12/H$4)</f>
        <v>0.0555735455789542</v>
      </c>
    </row>
    <row r="61" customFormat="false" ht="15" hidden="false" customHeight="false" outlineLevel="0" collapsed="false">
      <c r="A61" s="24" t="s">
        <v>51</v>
      </c>
      <c r="B61" s="29" t="n">
        <f aca="false">IF(B$4=0,0,B13/B$4)</f>
        <v>0.00981360967673481</v>
      </c>
      <c r="C61" s="29" t="n">
        <f aca="false">IF(C$4=0,0,C13/C$4)</f>
        <v>0.0251111111111111</v>
      </c>
      <c r="D61" s="29" t="n">
        <f aca="false">IF(D$4=0,0,D13/D$4)</f>
        <v>0</v>
      </c>
      <c r="E61" s="29" t="n">
        <f aca="false">IF(E$4=0,0,E13/E$4)</f>
        <v>0.024894472361809</v>
      </c>
      <c r="F61" s="29" t="n">
        <f aca="false">IF(F$4=0,0,F13/F$4)</f>
        <v>0.0176044340567101</v>
      </c>
      <c r="G61" s="29" t="n">
        <f aca="false">IF(G$4=0,0,G13/G$4)</f>
        <v>0.0186594489245168</v>
      </c>
      <c r="H61" s="29" t="n">
        <f aca="false">IF(H$4=0,0,H13/H$4)</f>
        <v>0.0152770024704691</v>
      </c>
    </row>
    <row r="62" customFormat="false" ht="15" hidden="false" customHeight="false" outlineLevel="0" collapsed="false">
      <c r="A62" s="26" t="s">
        <v>52</v>
      </c>
      <c r="B62" s="30" t="n">
        <f aca="false">IF(B$4=0,0,B14/B$4)</f>
        <v>0.00910730706656292</v>
      </c>
      <c r="C62" s="30" t="n">
        <f aca="false">IF(C$4=0,0,C14/C$4)</f>
        <v>0</v>
      </c>
      <c r="D62" s="30" t="n">
        <f aca="false">IF(D$4=0,0,D14/D$4)</f>
        <v>0</v>
      </c>
      <c r="E62" s="30" t="n">
        <f aca="false">IF(E$4=0,0,E14/E$4)</f>
        <v>0</v>
      </c>
      <c r="F62" s="30" t="n">
        <f aca="false">IF(F$4=0,0,F14/F$4)</f>
        <v>0</v>
      </c>
      <c r="G62" s="30" t="n">
        <f aca="false">IF(G$4=0,0,G14/G$4)</f>
        <v>0</v>
      </c>
      <c r="H62" s="30" t="n">
        <f aca="false">IF(H$4=0,0,H14/H$4)</f>
        <v>0.003725815837915</v>
      </c>
    </row>
    <row r="63" customFormat="false" ht="15" hidden="false" customHeight="false" outlineLevel="0" collapsed="false">
      <c r="A63" s="24" t="s">
        <v>53</v>
      </c>
      <c r="B63" s="29" t="n">
        <f aca="false">IF(B$4=0,0,B15/B$4)</f>
        <v>0.000571903515597369</v>
      </c>
      <c r="C63" s="29" t="n">
        <f aca="false">IF(C$4=0,0,C15/C$4)</f>
        <v>0.000611111111111111</v>
      </c>
      <c r="D63" s="29" t="n">
        <f aca="false">IF(D$4=0,0,D15/D$4)</f>
        <v>0</v>
      </c>
      <c r="E63" s="29" t="n">
        <f aca="false">IF(E$4=0,0,E15/E$4)</f>
        <v>0.000479061976549414</v>
      </c>
      <c r="F63" s="29" t="n">
        <f aca="false">IF(F$4=0,0,F15/F$4)</f>
        <v>0.000484293018332309</v>
      </c>
      <c r="G63" s="29" t="n">
        <f aca="false">IF(G$4=0,0,G15/G$4)</f>
        <v>0.000522769095573212</v>
      </c>
      <c r="H63" s="29" t="n">
        <f aca="false">IF(H$4=0,0,H15/H$4)</f>
        <v>0.000527691276150525</v>
      </c>
    </row>
    <row r="64" customFormat="false" ht="15" hidden="false" customHeight="false" outlineLevel="0" collapsed="false">
      <c r="A64" s="26" t="s">
        <v>54</v>
      </c>
      <c r="B64" s="30" t="n">
        <f aca="false">IF(B$4=0,0,B16/B$4)</f>
        <v>0.000681544882223951</v>
      </c>
      <c r="C64" s="30" t="n">
        <f aca="false">IF(C$4=0,0,C16/C$4)</f>
        <v>0.00194444444444444</v>
      </c>
      <c r="D64" s="30" t="n">
        <f aca="false">IF(D$4=0,0,D16/D$4)</f>
        <v>0</v>
      </c>
      <c r="E64" s="30" t="n">
        <f aca="false">IF(E$4=0,0,E16/E$4)</f>
        <v>0.00186934673366834</v>
      </c>
      <c r="F64" s="30" t="n">
        <f aca="false">IF(F$4=0,0,F16/F$4)</f>
        <v>0.00135334056901558</v>
      </c>
      <c r="G64" s="30" t="n">
        <f aca="false">IF(G$4=0,0,G16/G$4)</f>
        <v>0.00144287170622842</v>
      </c>
      <c r="H64" s="30" t="n">
        <f aca="false">IF(H$4=0,0,H16/H$4)</f>
        <v>0.0011424870623758</v>
      </c>
    </row>
    <row r="65" customFormat="false" ht="15" hidden="false" customHeight="false" outlineLevel="0" collapsed="false">
      <c r="A65" s="24" t="s">
        <v>55</v>
      </c>
      <c r="B65" s="29" t="n">
        <f aca="false">IF(B$4=0,0,B17/B$4)</f>
        <v>0.00311346113036712</v>
      </c>
      <c r="C65" s="29" t="n">
        <f aca="false">IF(C$4=0,0,C17/C$4)</f>
        <v>0.00794444444444445</v>
      </c>
      <c r="D65" s="29" t="n">
        <f aca="false">IF(D$4=0,0,D17/D$4)</f>
        <v>0</v>
      </c>
      <c r="E65" s="29" t="n">
        <f aca="false">IF(E$4=0,0,E17/E$4)</f>
        <v>0.00691122278056951</v>
      </c>
      <c r="F65" s="29" t="n">
        <f aca="false">IF(F$4=0,0,F17/F$4)</f>
        <v>0.00421650769221935</v>
      </c>
      <c r="G65" s="29" t="n">
        <f aca="false">IF(G$4=0,0,G17/G$4)</f>
        <v>0.00656325361044204</v>
      </c>
      <c r="H65" s="29" t="n">
        <f aca="false">IF(H$4=0,0,H17/H$4)</f>
        <v>0.00447604322120002</v>
      </c>
    </row>
    <row r="66" customFormat="false" ht="15" hidden="false" customHeight="false" outlineLevel="0" collapsed="false">
      <c r="A66" s="26" t="s">
        <v>56</v>
      </c>
      <c r="B66" s="30" t="n">
        <f aca="false">IF(B$4=0,0,B18/B$4)</f>
        <v>0.00018957345971564</v>
      </c>
      <c r="C66" s="30" t="n">
        <f aca="false">IF(C$4=0,0,C18/C$4)</f>
        <v>0</v>
      </c>
      <c r="D66" s="30" t="n">
        <f aca="false">IF(D$4=0,0,D18/D$4)</f>
        <v>0</v>
      </c>
      <c r="E66" s="30" t="n">
        <f aca="false">IF(E$4=0,0,E18/E$4)</f>
        <v>0.000641541038525963</v>
      </c>
      <c r="F66" s="30" t="n">
        <f aca="false">IF(F$4=0,0,F18/F$4)</f>
        <v>0.000363698314162604</v>
      </c>
      <c r="G66" s="30" t="n">
        <f aca="false">IF(G$4=0,0,G18/G$4)</f>
        <v>0.000231294509691893</v>
      </c>
      <c r="H66" s="30" t="n">
        <f aca="false">IF(H$4=0,0,H18/H$4)</f>
        <v>0.000289094370646764</v>
      </c>
    </row>
    <row r="67" customFormat="false" ht="15" hidden="false" customHeight="false" outlineLevel="0" collapsed="false">
      <c r="A67" s="24" t="s">
        <v>57</v>
      </c>
      <c r="B67" s="29" t="n">
        <f aca="false">IF(B$4=0,0,B19/B$4)</f>
        <v>1.37935912852798E-005</v>
      </c>
      <c r="C67" s="29" t="n">
        <f aca="false">IF(C$4=0,0,C19/C$4)</f>
        <v>0</v>
      </c>
      <c r="D67" s="29" t="n">
        <f aca="false">IF(D$4=0,0,D19/D$4)</f>
        <v>0</v>
      </c>
      <c r="E67" s="29" t="n">
        <f aca="false">IF(E$4=0,0,E19/E$4)</f>
        <v>5.69514237855947E-005</v>
      </c>
      <c r="F67" s="29" t="n">
        <f aca="false">IF(F$4=0,0,F19/F$4)</f>
        <v>7.08254611790334E-005</v>
      </c>
      <c r="G67" s="29" t="n">
        <f aca="false">IF(G$4=0,0,G19/G$4)</f>
        <v>0.000200116879858816</v>
      </c>
      <c r="H67" s="29" t="n">
        <f aca="false">IF(H$4=0,0,H19/H$4)</f>
        <v>7.19118629686895E-005</v>
      </c>
    </row>
    <row r="68" customFormat="false" ht="15" hidden="false" customHeight="false" outlineLevel="0" collapsed="false">
      <c r="A68" s="26" t="s">
        <v>58</v>
      </c>
      <c r="B68" s="30" t="n">
        <f aca="false">IF(B$4=0,0,B20/B$4)</f>
        <v>0.000398245738133975</v>
      </c>
      <c r="C68" s="30" t="n">
        <f aca="false">IF(C$4=0,0,C20/C$4)</f>
        <v>0.000444444444444444</v>
      </c>
      <c r="D68" s="30" t="n">
        <f aca="false">IF(D$4=0,0,D20/D$4)</f>
        <v>0</v>
      </c>
      <c r="E68" s="30" t="n">
        <f aca="false">IF(E$4=0,0,E20/E$4)</f>
        <v>0.000532663316582915</v>
      </c>
      <c r="F68" s="30" t="n">
        <f aca="false">IF(F$4=0,0,F20/F$4)</f>
        <v>0.000248367664539989</v>
      </c>
      <c r="G68" s="30" t="n">
        <f aca="false">IF(G$4=0,0,G20/G$4)</f>
        <v>8.19319109566892E-005</v>
      </c>
      <c r="H68" s="30" t="n">
        <f aca="false">IF(H$4=0,0,H20/H$4)</f>
        <v>0.000301537872086014</v>
      </c>
    </row>
    <row r="69" customFormat="false" ht="15" hidden="false" customHeight="false" outlineLevel="0" collapsed="false">
      <c r="A69" s="24" t="s">
        <v>59</v>
      </c>
      <c r="B69" s="29" t="n">
        <f aca="false">IF(B$4=0,0,B21/B$4)</f>
        <v>5.34059560019806E-005</v>
      </c>
      <c r="C69" s="29" t="n">
        <f aca="false">IF(C$4=0,0,C21/C$4)</f>
        <v>5.55555555555556E-005</v>
      </c>
      <c r="D69" s="29" t="n">
        <f aca="false">IF(D$4=0,0,D21/D$4)</f>
        <v>0</v>
      </c>
      <c r="E69" s="29" t="n">
        <f aca="false">IF(E$4=0,0,E21/E$4)</f>
        <v>3.51758793969849E-005</v>
      </c>
      <c r="F69" s="29" t="n">
        <f aca="false">IF(F$4=0,0,F21/F$4)</f>
        <v>6.07759024982246E-005</v>
      </c>
      <c r="G69" s="29" t="n">
        <f aca="false">IF(G$4=0,0,G21/G$4)</f>
        <v>0.000218968469990444</v>
      </c>
      <c r="H69" s="29" t="n">
        <f aca="false">IF(H$4=0,0,H21/H$4)</f>
        <v>8.71045100747507E-005</v>
      </c>
    </row>
    <row r="70" customFormat="false" ht="15" hidden="false" customHeight="false" outlineLevel="0" collapsed="false">
      <c r="A70" s="26" t="s">
        <v>60</v>
      </c>
      <c r="B70" s="30" t="n">
        <f aca="false">IF(B$4=0,0,B22/B$4)</f>
        <v>0.00869668246445498</v>
      </c>
      <c r="C70" s="30" t="n">
        <f aca="false">IF(C$4=0,0,C22/C$4)</f>
        <v>0.00905555555555556</v>
      </c>
      <c r="D70" s="30" t="n">
        <f aca="false">IF(D$4=0,0,D22/D$4)</f>
        <v>0</v>
      </c>
      <c r="E70" s="30" t="n">
        <f aca="false">IF(E$4=0,0,E22/E$4)</f>
        <v>0.00731658291457286</v>
      </c>
      <c r="F70" s="30" t="n">
        <f aca="false">IF(F$4=0,0,F22/F$4)</f>
        <v>0.00427536939306408</v>
      </c>
      <c r="G70" s="30" t="n">
        <f aca="false">IF(G$4=0,0,G22/G$4)</f>
        <v>0.0050108976692184</v>
      </c>
      <c r="H70" s="30" t="n">
        <f aca="false">IF(H$4=0,0,H22/H$4)</f>
        <v>0.0065060702583242</v>
      </c>
    </row>
    <row r="71" customFormat="false" ht="15" hidden="false" customHeight="false" outlineLevel="0" collapsed="false">
      <c r="A71" s="24" t="s">
        <v>61</v>
      </c>
      <c r="B71" s="29" t="n">
        <f aca="false">IF(B$4=0,0,B23/B$4)</f>
        <v>0.00596873452642003</v>
      </c>
      <c r="C71" s="29" t="n">
        <f aca="false">IF(C$4=0,0,C23/C$4)</f>
        <v>0.00677777777777778</v>
      </c>
      <c r="D71" s="29" t="n">
        <f aca="false">IF(D$4=0,0,D23/D$4)</f>
        <v>0</v>
      </c>
      <c r="E71" s="29" t="n">
        <f aca="false">IF(E$4=0,0,E23/E$4)</f>
        <v>0.00861976549413735</v>
      </c>
      <c r="F71" s="29" t="n">
        <f aca="false">IF(F$4=0,0,F23/F$4)</f>
        <v>0.00362454083087837</v>
      </c>
      <c r="G71" s="29" t="n">
        <f aca="false">IF(G$4=0,0,G23/G$4)</f>
        <v>0.00434094115838671</v>
      </c>
      <c r="H71" s="29" t="n">
        <f aca="false">IF(H$4=0,0,H23/H$4)</f>
        <v>0.0051662234754468</v>
      </c>
    </row>
    <row r="72" customFormat="false" ht="15" hidden="false" customHeight="false" outlineLevel="0" collapsed="false">
      <c r="A72" s="26" t="s">
        <v>62</v>
      </c>
      <c r="B72" s="30" t="n">
        <f aca="false">IF(B$4=0,0,B24/B$4)</f>
        <v>0.0021984862417769</v>
      </c>
      <c r="C72" s="30" t="n">
        <f aca="false">IF(C$4=0,0,C24/C$4)</f>
        <v>0.00261111111111111</v>
      </c>
      <c r="D72" s="30" t="n">
        <f aca="false">IF(D$4=0,0,D24/D$4)</f>
        <v>0</v>
      </c>
      <c r="E72" s="30" t="n">
        <f aca="false">IF(E$4=0,0,E24/E$4)</f>
        <v>0.00472696817420436</v>
      </c>
      <c r="F72" s="30" t="n">
        <f aca="false">IF(F$4=0,0,F24/F$4)</f>
        <v>0.00457398485100811</v>
      </c>
      <c r="G72" s="30" t="n">
        <f aca="false">IF(G$4=0,0,G24/G$4)</f>
        <v>0.00400161253601741</v>
      </c>
      <c r="H72" s="30" t="n">
        <f aca="false">IF(H$4=0,0,H24/H$4)</f>
        <v>0.00349604513692048</v>
      </c>
    </row>
    <row r="73" customFormat="false" ht="15" hidden="false" customHeight="false" outlineLevel="0" collapsed="false">
      <c r="A73" s="24" t="s">
        <v>63</v>
      </c>
      <c r="B73" s="29" t="n">
        <f aca="false">IF(B$4=0,0,B25/B$4)</f>
        <v>0.00055032892409988</v>
      </c>
      <c r="C73" s="29" t="n">
        <f aca="false">IF(C$4=0,0,C25/C$4)</f>
        <v>0.000555555555555556</v>
      </c>
      <c r="D73" s="29" t="n">
        <f aca="false">IF(D$4=0,0,D25/D$4)</f>
        <v>0</v>
      </c>
      <c r="E73" s="29" t="n">
        <f aca="false">IF(E$4=0,0,E25/E$4)</f>
        <v>0.000336683417085427</v>
      </c>
      <c r="F73" s="29" t="n">
        <f aca="false">IF(F$4=0,0,F25/F$4)</f>
        <v>0.000192855816588854</v>
      </c>
      <c r="G73" s="29" t="n">
        <f aca="false">IF(G$4=0,0,G25/G$4)</f>
        <v>0.000253046344459155</v>
      </c>
      <c r="H73" s="29" t="n">
        <f aca="false">IF(H$4=0,0,H25/H$4)</f>
        <v>0.000364478838668268</v>
      </c>
    </row>
    <row r="74" customFormat="false" ht="15" hidden="false" customHeight="false" outlineLevel="0" collapsed="false">
      <c r="A74" s="26" t="s">
        <v>64</v>
      </c>
      <c r="B74" s="30" t="n">
        <f aca="false">IF(B$4=0,0,B26/B$4)</f>
        <v>0.000434674966400226</v>
      </c>
      <c r="C74" s="30" t="n">
        <f aca="false">IF(C$4=0,0,C26/C$4)</f>
        <v>0.000388888888888889</v>
      </c>
      <c r="D74" s="30" t="n">
        <f aca="false">IF(D$4=0,0,D26/D$4)</f>
        <v>0</v>
      </c>
      <c r="E74" s="30" t="n">
        <f aca="false">IF(E$4=0,0,E26/E$4)</f>
        <v>0.000323283082077052</v>
      </c>
      <c r="F74" s="30" t="n">
        <f aca="false">IF(F$4=0,0,F26/F$4)</f>
        <v>0.000188548862868508</v>
      </c>
      <c r="G74" s="30" t="n">
        <f aca="false">IF(G$4=0,0,G26/G$4)</f>
        <v>0.000189966023634094</v>
      </c>
      <c r="H74" s="30" t="n">
        <f aca="false">IF(H$4=0,0,H26/H$4)</f>
        <v>0.000301682563963215</v>
      </c>
    </row>
    <row r="75" customFormat="false" ht="15" hidden="false" customHeight="false" outlineLevel="0" collapsed="false">
      <c r="A75" s="24" t="s">
        <v>65</v>
      </c>
      <c r="B75" s="29" t="n">
        <f aca="false">IF(B$4=0,0,B27/B$4)</f>
        <v>0.00112789134894249</v>
      </c>
      <c r="C75" s="29" t="n">
        <f aca="false">IF(C$4=0,0,C27/C$4)</f>
        <v>0.000777777777777778</v>
      </c>
      <c r="D75" s="29" t="n">
        <f aca="false">IF(D$4=0,0,D27/D$4)</f>
        <v>0</v>
      </c>
      <c r="E75" s="29" t="n">
        <f aca="false">IF(E$4=0,0,E27/E$4)</f>
        <v>0.000892797319932998</v>
      </c>
      <c r="F75" s="29" t="n">
        <f aca="false">IF(F$4=0,0,F27/F$4)</f>
        <v>7.70466165528674E-005</v>
      </c>
      <c r="G75" s="29" t="n">
        <f aca="false">IF(G$4=0,0,G27/G$4)</f>
        <v>5.14793422825215E-005</v>
      </c>
      <c r="H75" s="29" t="n">
        <f aca="false">IF(H$4=0,0,H27/H$4)</f>
        <v>0.000574137368731912</v>
      </c>
    </row>
    <row r="76" customFormat="false" ht="15" hidden="false" customHeight="false" outlineLevel="0" collapsed="false">
      <c r="A76" s="26" t="s">
        <v>66</v>
      </c>
      <c r="B76" s="30" t="n">
        <f aca="false">IF(B$4=0,0,B28/B$4)</f>
        <v>0.0195363231237179</v>
      </c>
      <c r="C76" s="30" t="n">
        <f aca="false">IF(C$4=0,0,C28/C$4)</f>
        <v>0.016</v>
      </c>
      <c r="D76" s="30" t="n">
        <f aca="false">IF(D$4=0,0,D28/D$4)</f>
        <v>0</v>
      </c>
      <c r="E76" s="30" t="n">
        <f aca="false">IF(E$4=0,0,E28/E$4)</f>
        <v>0.0085393634840871</v>
      </c>
      <c r="F76" s="30" t="n">
        <f aca="false">IF(F$4=0,0,F28/F$4)</f>
        <v>0</v>
      </c>
      <c r="G76" s="30" t="n">
        <f aca="false">IF(G$4=0,0,G28/G$4)</f>
        <v>0</v>
      </c>
      <c r="H76" s="30" t="n">
        <f aca="false">IF(H$4=0,0,H28/H$4)</f>
        <v>0.00877165567153092</v>
      </c>
    </row>
    <row r="77" customFormat="false" ht="15" hidden="false" customHeight="false" outlineLevel="0" collapsed="false">
      <c r="A77" s="24" t="s">
        <v>67</v>
      </c>
      <c r="B77" s="29" t="n">
        <f aca="false">IF(B$4=0,0,B29/B$4)</f>
        <v>0</v>
      </c>
      <c r="C77" s="29" t="n">
        <f aca="false">IF(C$4=0,0,C29/C$4)</f>
        <v>0</v>
      </c>
      <c r="D77" s="29" t="n">
        <f aca="false">IF(D$4=0,0,D29/D$4)</f>
        <v>0</v>
      </c>
      <c r="E77" s="29" t="n">
        <f aca="false">IF(E$4=0,0,E29/E$4)</f>
        <v>0</v>
      </c>
      <c r="F77" s="29" t="n">
        <f aca="false">IF(F$4=0,0,F29/F$4)</f>
        <v>0</v>
      </c>
      <c r="G77" s="29" t="n">
        <f aca="false">IF(G$4=0,0,G29/G$4)</f>
        <v>0</v>
      </c>
      <c r="H77" s="29" t="n">
        <f aca="false">IF(H$4=0,0,H29/H$4)</f>
        <v>0</v>
      </c>
    </row>
    <row r="78" customFormat="false" ht="15" hidden="false" customHeight="false" outlineLevel="0" collapsed="false">
      <c r="A78" s="26" t="s">
        <v>68</v>
      </c>
      <c r="B78" s="30" t="n">
        <f aca="false">IF(B$4=0,0,B30/B$4)</f>
        <v>0.000497984013581382</v>
      </c>
      <c r="C78" s="30" t="n">
        <f aca="false">IF(C$4=0,0,C30/C$4)</f>
        <v>0.0005</v>
      </c>
      <c r="D78" s="30" t="n">
        <f aca="false">IF(D$4=0,0,D30/D$4)</f>
        <v>0</v>
      </c>
      <c r="E78" s="30" t="n">
        <f aca="false">IF(E$4=0,0,E30/E$4)</f>
        <v>0.000368509212730318</v>
      </c>
      <c r="F78" s="30" t="n">
        <f aca="false">IF(F$4=0,0,F30/F$4)</f>
        <v>0.000215347686017331</v>
      </c>
      <c r="G78" s="30" t="n">
        <f aca="false">IF(G$4=0,0,G30/G$4)</f>
        <v>0.000216793286513717</v>
      </c>
      <c r="H78" s="30" t="n">
        <f aca="false">IF(H$4=0,0,H30/H$4)</f>
        <v>0.00034523481900059</v>
      </c>
    </row>
    <row r="79" customFormat="false" ht="15" hidden="false" customHeight="false" outlineLevel="0" collapsed="false">
      <c r="A79" s="24" t="s">
        <v>69</v>
      </c>
      <c r="B79" s="29" t="n">
        <f aca="false">IF(B$4=0,0,B31/B$4)</f>
        <v>0.000214684869491406</v>
      </c>
      <c r="C79" s="29" t="n">
        <f aca="false">IF(C$4=0,0,C31/C$4)</f>
        <v>0.000111111111111111</v>
      </c>
      <c r="D79" s="29" t="n">
        <f aca="false">IF(D$4=0,0,D31/D$4)</f>
        <v>0</v>
      </c>
      <c r="E79" s="29" t="n">
        <f aca="false">IF(E$4=0,0,E31/E$4)</f>
        <v>0.000318257956448911</v>
      </c>
      <c r="F79" s="29" t="n">
        <f aca="false">IF(F$4=0,0,F31/F$4)</f>
        <v>0.000116766300862731</v>
      </c>
      <c r="G79" s="29" t="n">
        <f aca="false">IF(G$4=0,0,G31/G$4)</f>
        <v>0.000138486681351572</v>
      </c>
      <c r="H79" s="29" t="n">
        <f aca="false">IF(H$4=0,0,H31/H$4)</f>
        <v>0.000178549776465519</v>
      </c>
    </row>
    <row r="80" customFormat="false" ht="15" hidden="false" customHeight="false" outlineLevel="0" collapsed="false">
      <c r="A80" s="26" t="s">
        <v>70</v>
      </c>
      <c r="B80" s="30" t="n">
        <f aca="false">IF(B$4=0,0,B32/B$4)</f>
        <v>5.4113319657636E-005</v>
      </c>
      <c r="C80" s="30" t="n">
        <f aca="false">IF(C$4=0,0,C32/C$4)</f>
        <v>0.000166666666666667</v>
      </c>
      <c r="D80" s="30" t="n">
        <f aca="false">IF(D$4=0,0,D32/D$4)</f>
        <v>0</v>
      </c>
      <c r="E80" s="30" t="n">
        <f aca="false">IF(E$4=0,0,E32/E$4)</f>
        <v>0.000117252931323283</v>
      </c>
      <c r="F80" s="30" t="n">
        <f aca="false">IF(F$4=0,0,F32/F$4)</f>
        <v>0.000105281090941806</v>
      </c>
      <c r="G80" s="30" t="n">
        <f aca="false">IF(G$4=0,0,G32/G$4)</f>
        <v>7.03309324141491E-005</v>
      </c>
      <c r="H80" s="30" t="n">
        <f aca="false">IF(H$4=0,0,H32/H$4)</f>
        <v>7.85676893199163E-005</v>
      </c>
    </row>
    <row r="81" customFormat="false" ht="15" hidden="false" customHeight="false" outlineLevel="0" collapsed="false">
      <c r="A81" s="24" t="s">
        <v>71</v>
      </c>
      <c r="B81" s="29" t="n">
        <f aca="false">IF(B$4=0,0,B33/B$4)</f>
        <v>5.23449105184976E-005</v>
      </c>
      <c r="C81" s="29" t="n">
        <f aca="false">IF(C$4=0,0,C33/C$4)</f>
        <v>0</v>
      </c>
      <c r="D81" s="29" t="n">
        <f aca="false">IF(D$4=0,0,D33/D$4)</f>
        <v>0</v>
      </c>
      <c r="E81" s="29" t="n">
        <f aca="false">IF(E$4=0,0,E33/E$4)</f>
        <v>1.17252931323283E-005</v>
      </c>
      <c r="F81" s="29" t="n">
        <f aca="false">IF(F$4=0,0,F33/F$4)</f>
        <v>0</v>
      </c>
      <c r="G81" s="29" t="n">
        <f aca="false">IF(G$4=0,0,G33/G$4)</f>
        <v>4.35036695345252E-006</v>
      </c>
      <c r="H81" s="29" t="n">
        <f aca="false">IF(H$4=0,0,H33/H$4)</f>
        <v>2.32953922292938E-005</v>
      </c>
    </row>
    <row r="82" customFormat="false" ht="15" hidden="false" customHeight="false" outlineLevel="0" collapsed="false">
      <c r="A82" s="26" t="s">
        <v>72</v>
      </c>
      <c r="B82" s="30" t="n">
        <f aca="false">IF(B$4=0,0,B34/B$4)</f>
        <v>0.000302751644620499</v>
      </c>
      <c r="C82" s="30" t="n">
        <f aca="false">IF(C$4=0,0,C34/C$4)</f>
        <v>0.000277777777777778</v>
      </c>
      <c r="D82" s="30" t="n">
        <f aca="false">IF(D$4=0,0,D34/D$4)</f>
        <v>0</v>
      </c>
      <c r="E82" s="30" t="n">
        <f aca="false">IF(E$4=0,0,E34/E$4)</f>
        <v>0.000562814070351759</v>
      </c>
      <c r="F82" s="30" t="n">
        <f aca="false">IF(F$4=0,0,F34/F$4)</f>
        <v>0.000186156110801649</v>
      </c>
      <c r="G82" s="30" t="n">
        <f aca="false">IF(G$4=0,0,G34/G$4)</f>
        <v>0.000408934493624537</v>
      </c>
      <c r="H82" s="30" t="n">
        <f aca="false">IF(H$4=0,0,H34/H$4)</f>
        <v>0.000311087535981253</v>
      </c>
    </row>
    <row r="83" customFormat="false" ht="15" hidden="false" customHeight="false" outlineLevel="0" collapsed="false">
      <c r="A83" s="24" t="s">
        <v>73</v>
      </c>
      <c r="B83" s="29" t="n">
        <f aca="false">IF(B$4=0,0,B35/B$4)</f>
        <v>0.000365707009973828</v>
      </c>
      <c r="C83" s="29" t="n">
        <f aca="false">IF(C$4=0,0,C35/C$4)</f>
        <v>0.000333333333333333</v>
      </c>
      <c r="D83" s="29" t="n">
        <f aca="false">IF(D$4=0,0,D35/D$4)</f>
        <v>0</v>
      </c>
      <c r="E83" s="29" t="n">
        <f aca="false">IF(E$4=0,0,E35/E$4)</f>
        <v>0.000949748743718593</v>
      </c>
      <c r="F83" s="29" t="n">
        <f aca="false">IF(F$4=0,0,F35/F$4)</f>
        <v>9.57100826743694E-005</v>
      </c>
      <c r="G83" s="29" t="n">
        <f aca="false">IF(G$4=0,0,G35/G$4)</f>
        <v>0.000538720441069204</v>
      </c>
      <c r="H83" s="29" t="n">
        <f aca="false">IF(H$4=0,0,H35/H$4)</f>
        <v>0.000368964286861486</v>
      </c>
    </row>
    <row r="84" customFormat="false" ht="15" hidden="false" customHeight="false" outlineLevel="0" collapsed="false">
      <c r="A84" s="26" t="s">
        <v>74</v>
      </c>
      <c r="B84" s="30" t="n">
        <f aca="false">IF(B$4=0,0,B36/B$4)</f>
        <v>0</v>
      </c>
      <c r="C84" s="30" t="n">
        <f aca="false">IF(C$4=0,0,C36/C$4)</f>
        <v>0.00122222222222222</v>
      </c>
      <c r="D84" s="30" t="n">
        <f aca="false">IF(D$4=0,0,D36/D$4)</f>
        <v>0</v>
      </c>
      <c r="E84" s="30" t="n">
        <f aca="false">IF(E$4=0,0,E36/E$4)</f>
        <v>0.00277051926298157</v>
      </c>
      <c r="F84" s="30" t="n">
        <f aca="false">IF(F$4=0,0,F36/F$4)</f>
        <v>0.000246453462886501</v>
      </c>
      <c r="G84" s="30" t="n">
        <f aca="false">IF(G$4=0,0,G36/G$4)</f>
        <v>0.00111369394008385</v>
      </c>
      <c r="H84" s="30" t="n">
        <f aca="false">IF(H$4=0,0,H36/H$4)</f>
        <v>0.000539266626326571</v>
      </c>
    </row>
    <row r="85" customFormat="false" ht="15" hidden="false" customHeight="false" outlineLevel="0" collapsed="false">
      <c r="A85" s="24" t="s">
        <v>75</v>
      </c>
      <c r="B85" s="29" t="n">
        <f aca="false">IF(B$4=0,0,B37/B$4)</f>
        <v>4.98691377237038E-005</v>
      </c>
      <c r="C85" s="29" t="n">
        <f aca="false">IF(C$4=0,0,C37/C$4)</f>
        <v>5.55555555555556E-005</v>
      </c>
      <c r="D85" s="29" t="n">
        <f aca="false">IF(D$4=0,0,D37/D$4)</f>
        <v>0</v>
      </c>
      <c r="E85" s="29" t="n">
        <f aca="false">IF(E$4=0,0,E37/E$4)</f>
        <v>3.68509212730318E-005</v>
      </c>
      <c r="F85" s="29" t="n">
        <f aca="false">IF(F$4=0,0,F37/F$4)</f>
        <v>2.15347686017331E-005</v>
      </c>
      <c r="G85" s="29" t="n">
        <f aca="false">IF(G$4=0,0,G37/G$4)</f>
        <v>2.17518347672626E-005</v>
      </c>
      <c r="H85" s="29" t="n">
        <f aca="false">IF(H$4=0,0,H37/H$4)</f>
        <v>3.45813586509392E-005</v>
      </c>
    </row>
    <row r="86" customFormat="false" ht="15" hidden="false" customHeight="false" outlineLevel="0" collapsed="false">
      <c r="A86" s="26" t="s">
        <v>76</v>
      </c>
      <c r="B86" s="30" t="n">
        <f aca="false">IF(B$4=0,0,B38/B$4)</f>
        <v>0.004008629836599</v>
      </c>
      <c r="C86" s="30" t="n">
        <f aca="false">IF(C$4=0,0,C38/C$4)</f>
        <v>0.00127777777777778</v>
      </c>
      <c r="D86" s="30" t="n">
        <f aca="false">IF(D$4=0,0,D38/D$4)</f>
        <v>0</v>
      </c>
      <c r="E86" s="30" t="n">
        <f aca="false">IF(E$4=0,0,E38/E$4)</f>
        <v>0.000889447236180905</v>
      </c>
      <c r="F86" s="30" t="n">
        <f aca="false">IF(F$4=0,0,F38/F$4)</f>
        <v>0.000590531210100859</v>
      </c>
      <c r="G86" s="30" t="n">
        <f aca="false">IF(G$4=0,0,G38/G$4)</f>
        <v>0.000990433543069358</v>
      </c>
      <c r="H86" s="30" t="n">
        <f aca="false">IF(H$4=0,0,H38/H$4)</f>
        <v>0.00209629591688204</v>
      </c>
    </row>
    <row r="87" customFormat="false" ht="15" hidden="false" customHeight="false" outlineLevel="0" collapsed="false">
      <c r="A87" s="17" t="s">
        <v>16</v>
      </c>
      <c r="B87" s="19" t="n">
        <f aca="false">IF(B$4=0,0,B39/B$4)</f>
        <v>-0.12114451439485</v>
      </c>
      <c r="C87" s="19" t="n">
        <f aca="false">IF(C$4=0,0,C39/C$4)</f>
        <v>-1.60383333333333</v>
      </c>
      <c r="D87" s="19" t="n">
        <f aca="false">IF(D$4=0,0,D39/D$4)</f>
        <v>0</v>
      </c>
      <c r="E87" s="19" t="n">
        <f aca="false">IF(E$4=0,0,E39/E$4)</f>
        <v>0.103479061976549</v>
      </c>
      <c r="F87" s="19" t="n">
        <f aca="false">IF(F$4=0,0,F39/F$4)</f>
        <v>-0.233303376077456</v>
      </c>
      <c r="G87" s="19" t="n">
        <f aca="false">IF(G$4=0,0,G39/G$4)</f>
        <v>0.103065268555403</v>
      </c>
      <c r="H87" s="19" t="n">
        <f aca="false">IF(H$4=0,0,H39/H$4)</f>
        <v>-0.0947717326476096</v>
      </c>
    </row>
    <row r="88" customFormat="false" ht="15" hidden="false" customHeight="false" outlineLevel="0" collapsed="false">
      <c r="A88" s="17" t="s">
        <v>17</v>
      </c>
      <c r="B88" s="19" t="n">
        <f aca="false">IF(B$4=0,0,B40/B$4)</f>
        <v>-0.000485605149607413</v>
      </c>
      <c r="C88" s="19" t="n">
        <f aca="false">IF(C$4=0,0,C40/C$4)</f>
        <v>0.00477777777777778</v>
      </c>
      <c r="D88" s="19" t="n">
        <f aca="false">IF(D$4=0,0,D40/D$4)</f>
        <v>0</v>
      </c>
      <c r="E88" s="19" t="n">
        <f aca="false">IF(E$4=0,0,E40/E$4)</f>
        <v>0.00455778894472362</v>
      </c>
      <c r="F88" s="19" t="n">
        <f aca="false">IF(F$4=0,0,F40/F$4)</f>
        <v>-0.00344173457297032</v>
      </c>
      <c r="G88" s="19" t="n">
        <f aca="false">IF(G$4=0,0,G40/G$4)</f>
        <v>-0.0101936348330982</v>
      </c>
      <c r="H88" s="19" t="n">
        <f aca="false">IF(H$4=0,0,H40/H$4)</f>
        <v>-0.00286735893048395</v>
      </c>
    </row>
    <row r="89" customFormat="false" ht="15" hidden="false" customHeight="false" outlineLevel="0" collapsed="false">
      <c r="A89" s="24" t="s">
        <v>77</v>
      </c>
      <c r="B89" s="29" t="n">
        <f aca="false">IF(B$4=0,0,B41/B$4)</f>
        <v>0</v>
      </c>
      <c r="C89" s="29" t="n">
        <f aca="false">IF(C$4=0,0,C41/C$4)</f>
        <v>0.00905555555555556</v>
      </c>
      <c r="D89" s="29" t="n">
        <f aca="false">IF(D$4=0,0,D41/D$4)</f>
        <v>0</v>
      </c>
      <c r="E89" s="29" t="n">
        <f aca="false">IF(E$4=0,0,E41/E$4)</f>
        <v>0.00541373534338359</v>
      </c>
      <c r="F89" s="29" t="n">
        <f aca="false">IF(F$4=0,0,F41/F$4)</f>
        <v>0.00234250427345519</v>
      </c>
      <c r="G89" s="29" t="n">
        <f aca="false">IF(G$4=0,0,G41/G$4)</f>
        <v>0.000316851726443126</v>
      </c>
      <c r="H89" s="29" t="n">
        <f aca="false">IF(H$4=0,0,H41/H$4)</f>
        <v>0.00126272601232948</v>
      </c>
    </row>
    <row r="90" customFormat="false" ht="15" hidden="false" customHeight="false" outlineLevel="0" collapsed="false">
      <c r="A90" s="26" t="s">
        <v>78</v>
      </c>
      <c r="B90" s="30" t="n">
        <f aca="false">IF(B$4=0,0,B42/B$4)</f>
        <v>0.000344486100304166</v>
      </c>
      <c r="C90" s="30" t="n">
        <f aca="false">IF(C$4=0,0,C42/C$4)</f>
        <v>0.000722222222222222</v>
      </c>
      <c r="D90" s="30" t="n">
        <f aca="false">IF(D$4=0,0,D42/D$4)</f>
        <v>0</v>
      </c>
      <c r="E90" s="30" t="n">
        <f aca="false">IF(E$4=0,0,E42/E$4)</f>
        <v>0.000294807370184255</v>
      </c>
      <c r="F90" s="30" t="n">
        <f aca="false">IF(F$4=0,0,F42/F$4)</f>
        <v>3.34985289360293E-005</v>
      </c>
      <c r="G90" s="30" t="n">
        <f aca="false">IF(G$4=0,0,G42/G$4)</f>
        <v>5.51046480770653E-005</v>
      </c>
      <c r="H90" s="30" t="n">
        <f aca="false">IF(H$4=0,0,H42/H$4)</f>
        <v>0.000189401667255563</v>
      </c>
    </row>
    <row r="91" customFormat="false" ht="15" hidden="false" customHeight="false" outlineLevel="0" collapsed="false">
      <c r="A91" s="24" t="s">
        <v>79</v>
      </c>
      <c r="B91" s="29" t="n">
        <f aca="false">IF(B$4=0,0,B43/B$4)</f>
        <v>1.06104548348306E-006</v>
      </c>
      <c r="C91" s="29" t="n">
        <f aca="false">IF(C$4=0,0,C43/C$4)</f>
        <v>0</v>
      </c>
      <c r="D91" s="29" t="n">
        <f aca="false">IF(D$4=0,0,D43/D$4)</f>
        <v>0</v>
      </c>
      <c r="E91" s="29" t="n">
        <f aca="false">IF(E$4=0,0,E43/E$4)</f>
        <v>3.01507537688442E-005</v>
      </c>
      <c r="F91" s="29" t="n">
        <f aca="false">IF(F$4=0,0,F43/F$4)</f>
        <v>5.35976462976469E-005</v>
      </c>
      <c r="G91" s="29" t="n">
        <f aca="false">IF(G$4=0,0,G43/G$4)</f>
        <v>0</v>
      </c>
      <c r="H91" s="29" t="n">
        <f aca="false">IF(H$4=0,0,H43/H$4)</f>
        <v>1.92440196676775E-005</v>
      </c>
    </row>
    <row r="92" customFormat="false" ht="15" hidden="false" customHeight="false" outlineLevel="0" collapsed="false">
      <c r="A92" s="26" t="s">
        <v>80</v>
      </c>
      <c r="B92" s="30" t="n">
        <f aca="false">IF(B$4=0,0,B44/B$4)</f>
        <v>0</v>
      </c>
      <c r="C92" s="30" t="n">
        <f aca="false">IF(C$4=0,0,C44/C$4)</f>
        <v>0</v>
      </c>
      <c r="D92" s="30" t="n">
        <f aca="false">IF(D$4=0,0,D44/D$4)</f>
        <v>0</v>
      </c>
      <c r="E92" s="30" t="n">
        <f aca="false">IF(E$4=0,0,E44/E$4)</f>
        <v>0</v>
      </c>
      <c r="F92" s="30" t="n">
        <f aca="false">IF(F$4=0,0,F44/F$4)</f>
        <v>0</v>
      </c>
      <c r="G92" s="30" t="n">
        <f aca="false">IF(G$4=0,0,G44/G$4)</f>
        <v>0</v>
      </c>
      <c r="H92" s="30" t="n">
        <f aca="false">IF(H$4=0,0,H44/H$4)</f>
        <v>0</v>
      </c>
    </row>
    <row r="93" customFormat="false" ht="15" hidden="false" customHeight="false" outlineLevel="0" collapsed="false">
      <c r="A93" s="24" t="s">
        <v>81</v>
      </c>
      <c r="B93" s="29" t="n">
        <f aca="false">IF(B$4=0,0,B45/B$4)</f>
        <v>0.000831152295395063</v>
      </c>
      <c r="C93" s="29" t="n">
        <f aca="false">IF(C$4=0,0,C45/C$4)</f>
        <v>0.00505555555555556</v>
      </c>
      <c r="D93" s="29" t="n">
        <f aca="false">IF(D$4=0,0,D45/D$4)</f>
        <v>0</v>
      </c>
      <c r="E93" s="29" t="n">
        <f aca="false">IF(E$4=0,0,E45/E$4)</f>
        <v>0.00118090452261307</v>
      </c>
      <c r="F93" s="29" t="n">
        <f aca="false">IF(F$4=0,0,F45/F$4)</f>
        <v>0.00587133502165919</v>
      </c>
      <c r="G93" s="29" t="n">
        <f aca="false">IF(G$4=0,0,G45/G$4)</f>
        <v>0.0105663162687773</v>
      </c>
      <c r="H93" s="29" t="n">
        <f aca="false">IF(H$4=0,0,H45/H$4)</f>
        <v>0.00433902001349107</v>
      </c>
    </row>
    <row r="94" customFormat="false" ht="15" hidden="false" customHeight="false" outlineLevel="0" collapsed="false">
      <c r="A94" s="17" t="s">
        <v>82</v>
      </c>
      <c r="B94" s="19" t="n">
        <f aca="false">IF(B$4=0,0,B46/B$4)</f>
        <v>-0.121630119544458</v>
      </c>
      <c r="C94" s="19" t="n">
        <f aca="false">IF(C$4=0,0,C46/C$4)</f>
        <v>-1.59911111111111</v>
      </c>
      <c r="D94" s="19" t="n">
        <f aca="false">IF(D$4=0,0,D46/D$4)</f>
        <v>0</v>
      </c>
      <c r="E94" s="19" t="n">
        <f aca="false">IF(E$4=0,0,E46/E$4)</f>
        <v>0.108036850921273</v>
      </c>
      <c r="F94" s="19" t="n">
        <f aca="false">IF(F$4=0,0,F46/F$4)</f>
        <v>-0.236745110650427</v>
      </c>
      <c r="G94" s="19" t="n">
        <f aca="false">IF(G$4=0,0,G46/G$4)</f>
        <v>0.0928716337223045</v>
      </c>
      <c r="H94" s="19" t="n">
        <f aca="false">IF(H$4=0,0,H46/H$4)</f>
        <v>-0.0976392362699707</v>
      </c>
    </row>
    <row r="95" customFormat="false" ht="15" hidden="false" customHeight="false" outlineLevel="0" collapsed="false">
      <c r="A95" s="24" t="s">
        <v>83</v>
      </c>
      <c r="B95" s="29" t="n">
        <f aca="false">IF(B$4=0,0,B47/B$4)</f>
        <v>0</v>
      </c>
      <c r="C95" s="29" t="n">
        <f aca="false">IF(C$4=0,0,C47/C$4)</f>
        <v>0</v>
      </c>
      <c r="D95" s="29" t="n">
        <f aca="false">IF(D$4=0,0,D47/D$4)</f>
        <v>0</v>
      </c>
      <c r="E95" s="29" t="n">
        <f aca="false">IF(E$4=0,0,E47/E$4)</f>
        <v>0</v>
      </c>
      <c r="F95" s="29" t="n">
        <f aca="false">IF(F$4=0,0,F47/F$4)</f>
        <v>0</v>
      </c>
      <c r="G95" s="29" t="n">
        <f aca="false">IF(G$4=0,0,G47/G$4)</f>
        <v>0</v>
      </c>
      <c r="H95" s="29" t="n">
        <f aca="false">IF(H$4=0,0,H47/H$4)</f>
        <v>0</v>
      </c>
    </row>
    <row r="96" customFormat="false" ht="15" hidden="false" customHeight="false" outlineLevel="0" collapsed="false">
      <c r="A96" s="17" t="s">
        <v>18</v>
      </c>
      <c r="B96" s="19" t="n">
        <f aca="false">IF(B$4=0,0,B48/B$4)</f>
        <v>-0.121630119544458</v>
      </c>
      <c r="C96" s="19" t="n">
        <f aca="false">IF(C$4=0,0,C48/C$4)</f>
        <v>-1.59911111111111</v>
      </c>
      <c r="D96" s="19" t="n">
        <f aca="false">IF(D$4=0,0,D48/D$4)</f>
        <v>0</v>
      </c>
      <c r="E96" s="19" t="n">
        <f aca="false">IF(E$4=0,0,E48/E$4)</f>
        <v>0.108036850921273</v>
      </c>
      <c r="F96" s="19" t="n">
        <f aca="false">IF(F$4=0,0,F48/F$4)</f>
        <v>-0.236745110650427</v>
      </c>
      <c r="G96" s="19" t="n">
        <f aca="false">IF(G$4=0,0,G48/G$4)</f>
        <v>0.0928716337223045</v>
      </c>
      <c r="H96" s="19" t="n">
        <f aca="false">IF(H$4=0,0,H48/H$4)</f>
        <v>-0.0976392362699707</v>
      </c>
    </row>
  </sheetData>
  <mergeCells count="3">
    <mergeCell ref="A1:H1"/>
    <mergeCell ref="A2:H2"/>
    <mergeCell ref="A50:H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8" min="2" style="0" width="16"/>
  </cols>
  <sheetData>
    <row r="1" customFormat="false" ht="24" hidden="false" customHeight="true" outlineLevel="0" collapsed="false">
      <c r="A1" s="21" t="s">
        <v>92</v>
      </c>
      <c r="B1" s="21"/>
      <c r="C1" s="21"/>
      <c r="D1" s="21"/>
      <c r="E1" s="21"/>
      <c r="F1" s="21"/>
      <c r="G1" s="21"/>
      <c r="H1" s="21"/>
    </row>
    <row r="2" customFormat="false" ht="13.5" hidden="false" customHeight="true" outlineLevel="0" collapsed="false">
      <c r="A2" s="2" t="s">
        <v>39</v>
      </c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22" t="s">
        <v>3</v>
      </c>
      <c r="B3" s="23" t="s">
        <v>4</v>
      </c>
      <c r="C3" s="23" t="s">
        <v>5</v>
      </c>
      <c r="D3" s="23" t="s">
        <v>6</v>
      </c>
      <c r="E3" s="23" t="s">
        <v>7</v>
      </c>
      <c r="F3" s="23" t="s">
        <v>8</v>
      </c>
      <c r="G3" s="23" t="s">
        <v>9</v>
      </c>
      <c r="H3" s="23" t="s">
        <v>10</v>
      </c>
    </row>
    <row r="4" customFormat="false" ht="15" hidden="false" customHeight="false" outlineLevel="0" collapsed="false">
      <c r="A4" s="17" t="s">
        <v>12</v>
      </c>
      <c r="B4" s="18" t="n">
        <v>9504</v>
      </c>
      <c r="C4" s="18" t="n">
        <v>0</v>
      </c>
      <c r="D4" s="18" t="n">
        <v>10253</v>
      </c>
      <c r="E4" s="18" t="n">
        <v>1008</v>
      </c>
      <c r="F4" s="18" t="n">
        <v>144</v>
      </c>
      <c r="G4" s="18" t="n">
        <v>0</v>
      </c>
      <c r="H4" s="18" t="n">
        <f aca="false">SUM(B4:G4)</f>
        <v>20909</v>
      </c>
    </row>
    <row r="5" customFormat="false" ht="15" hidden="false" customHeight="false" outlineLevel="0" collapsed="false">
      <c r="A5" s="24" t="s">
        <v>35</v>
      </c>
      <c r="B5" s="25" t="n">
        <v>9504</v>
      </c>
      <c r="C5" s="25" t="n">
        <v>0</v>
      </c>
      <c r="D5" s="25" t="n">
        <v>10253</v>
      </c>
      <c r="E5" s="25" t="n">
        <v>1008</v>
      </c>
      <c r="F5" s="25" t="n">
        <v>144</v>
      </c>
      <c r="G5" s="25" t="n">
        <v>0</v>
      </c>
      <c r="H5" s="25" t="n">
        <f aca="false">SUM(B5:G5)</f>
        <v>20909</v>
      </c>
    </row>
    <row r="6" customFormat="false" ht="15" hidden="false" customHeight="false" outlineLevel="0" collapsed="false">
      <c r="A6" s="26" t="s">
        <v>40</v>
      </c>
      <c r="B6" s="27" t="n">
        <v>0</v>
      </c>
      <c r="C6" s="27" t="n">
        <v>0</v>
      </c>
      <c r="D6" s="27" t="n">
        <v>0</v>
      </c>
      <c r="E6" s="27" t="n">
        <v>0</v>
      </c>
      <c r="F6" s="27" t="n">
        <v>0</v>
      </c>
      <c r="G6" s="27" t="n">
        <v>0</v>
      </c>
      <c r="H6" s="27" t="n">
        <f aca="false">SUM(B6:G6)</f>
        <v>0</v>
      </c>
    </row>
    <row r="7" customFormat="false" ht="15" hidden="false" customHeight="false" outlineLevel="0" collapsed="false">
      <c r="A7" s="17" t="s">
        <v>13</v>
      </c>
      <c r="B7" s="18" t="n">
        <v>7603.2</v>
      </c>
      <c r="C7" s="18" t="n">
        <v>0</v>
      </c>
      <c r="D7" s="18" t="n">
        <v>8123.2</v>
      </c>
      <c r="E7" s="18" t="n">
        <v>696.73</v>
      </c>
      <c r="F7" s="18" t="n">
        <v>527.39</v>
      </c>
      <c r="G7" s="18" t="n">
        <v>0</v>
      </c>
      <c r="H7" s="18" t="n">
        <f aca="false">SUM(B7:G7)</f>
        <v>16950.52</v>
      </c>
    </row>
    <row r="8" customFormat="false" ht="15" hidden="false" customHeight="false" outlineLevel="0" collapsed="false">
      <c r="A8" s="26" t="s">
        <v>47</v>
      </c>
      <c r="B8" s="27" t="n">
        <v>7603.2</v>
      </c>
      <c r="C8" s="27" t="n">
        <v>0</v>
      </c>
      <c r="D8" s="27" t="n">
        <v>8123.2</v>
      </c>
      <c r="E8" s="27" t="n">
        <v>696.73</v>
      </c>
      <c r="F8" s="27" t="n">
        <v>116.12</v>
      </c>
      <c r="G8" s="27" t="n">
        <v>0</v>
      </c>
      <c r="H8" s="27" t="n">
        <f aca="false">SUM(B8:G8)</f>
        <v>16539.25</v>
      </c>
    </row>
    <row r="9" customFormat="false" ht="15" hidden="false" customHeight="false" outlineLevel="0" collapsed="false">
      <c r="A9" s="24" t="s">
        <v>49</v>
      </c>
      <c r="B9" s="25" t="n">
        <v>0</v>
      </c>
      <c r="C9" s="25" t="n">
        <v>0</v>
      </c>
      <c r="D9" s="25" t="n">
        <v>0</v>
      </c>
      <c r="E9" s="25" t="n">
        <v>0</v>
      </c>
      <c r="F9" s="25" t="n">
        <v>411.27</v>
      </c>
      <c r="G9" s="25" t="n">
        <v>0</v>
      </c>
      <c r="H9" s="25" t="n">
        <f aca="false">SUM(B9:G9)</f>
        <v>411.27</v>
      </c>
    </row>
    <row r="10" customFormat="false" ht="15" hidden="false" customHeight="false" outlineLevel="0" collapsed="false">
      <c r="A10" s="26" t="s">
        <v>50</v>
      </c>
      <c r="B10" s="27" t="n">
        <v>0</v>
      </c>
      <c r="C10" s="27" t="n">
        <v>0</v>
      </c>
      <c r="D10" s="27" t="n">
        <v>0</v>
      </c>
      <c r="E10" s="27" t="n">
        <v>0</v>
      </c>
      <c r="F10" s="27" t="n">
        <v>0</v>
      </c>
      <c r="G10" s="27" t="n">
        <v>0</v>
      </c>
      <c r="H10" s="27" t="n">
        <f aca="false">SUM(B10:G10)</f>
        <v>0</v>
      </c>
    </row>
    <row r="11" customFormat="false" ht="15" hidden="false" customHeight="false" outlineLevel="0" collapsed="false">
      <c r="A11" s="17" t="s">
        <v>14</v>
      </c>
      <c r="B11" s="18" t="n">
        <v>1900.8</v>
      </c>
      <c r="C11" s="18" t="n">
        <v>0</v>
      </c>
      <c r="D11" s="18" t="n">
        <v>2129.8</v>
      </c>
      <c r="E11" s="18" t="n">
        <v>311.27</v>
      </c>
      <c r="F11" s="18" t="n">
        <v>-383.39</v>
      </c>
      <c r="G11" s="18" t="n">
        <v>0</v>
      </c>
      <c r="H11" s="18" t="n">
        <f aca="false">SUM(B11:G11)</f>
        <v>3958.48</v>
      </c>
    </row>
    <row r="12" customFormat="false" ht="15" hidden="false" customHeight="false" outlineLevel="0" collapsed="false">
      <c r="A12" s="17" t="s">
        <v>15</v>
      </c>
      <c r="B12" s="18" t="n">
        <v>651.08</v>
      </c>
      <c r="C12" s="18" t="n">
        <v>0</v>
      </c>
      <c r="D12" s="18" t="n">
        <v>595.22</v>
      </c>
      <c r="E12" s="18" t="n">
        <v>73.31</v>
      </c>
      <c r="F12" s="18" t="n">
        <v>5.63</v>
      </c>
      <c r="G12" s="18" t="n">
        <v>0</v>
      </c>
      <c r="H12" s="18" t="n">
        <f aca="false">SUM(B12:G12)</f>
        <v>1325.24</v>
      </c>
    </row>
    <row r="13" customFormat="false" ht="15" hidden="false" customHeight="false" outlineLevel="0" collapsed="false">
      <c r="A13" s="24" t="s">
        <v>51</v>
      </c>
      <c r="B13" s="25" t="n">
        <v>93.27</v>
      </c>
      <c r="C13" s="25" t="n">
        <v>0</v>
      </c>
      <c r="D13" s="25" t="n">
        <v>183.94</v>
      </c>
      <c r="E13" s="25" t="n">
        <v>25.09</v>
      </c>
      <c r="F13" s="25" t="n">
        <v>2.54</v>
      </c>
      <c r="G13" s="25" t="n">
        <v>0</v>
      </c>
      <c r="H13" s="25" t="n">
        <f aca="false">SUM(B13:G13)</f>
        <v>304.84</v>
      </c>
    </row>
    <row r="14" customFormat="false" ht="15" hidden="false" customHeight="false" outlineLevel="0" collapsed="false">
      <c r="A14" s="26" t="s">
        <v>52</v>
      </c>
      <c r="B14" s="27" t="n">
        <v>86.56</v>
      </c>
      <c r="C14" s="27" t="n">
        <v>0</v>
      </c>
      <c r="D14" s="27" t="n">
        <v>0</v>
      </c>
      <c r="E14" s="27" t="n">
        <v>0</v>
      </c>
      <c r="F14" s="27" t="n">
        <v>0</v>
      </c>
      <c r="G14" s="27" t="n">
        <v>0</v>
      </c>
      <c r="H14" s="27" t="n">
        <f aca="false">SUM(B14:G14)</f>
        <v>86.56</v>
      </c>
    </row>
    <row r="15" customFormat="false" ht="15" hidden="false" customHeight="false" outlineLevel="0" collapsed="false">
      <c r="A15" s="24" t="s">
        <v>53</v>
      </c>
      <c r="B15" s="25" t="n">
        <v>5.43</v>
      </c>
      <c r="C15" s="25" t="n">
        <v>0</v>
      </c>
      <c r="D15" s="25" t="n">
        <v>3.3</v>
      </c>
      <c r="E15" s="25" t="n">
        <v>0.48</v>
      </c>
      <c r="F15" s="25" t="n">
        <v>0.07</v>
      </c>
      <c r="G15" s="25" t="n">
        <v>0</v>
      </c>
      <c r="H15" s="25" t="n">
        <f aca="false">SUM(B15:G15)</f>
        <v>9.28</v>
      </c>
    </row>
    <row r="16" customFormat="false" ht="15" hidden="false" customHeight="false" outlineLevel="0" collapsed="false">
      <c r="A16" s="26" t="s">
        <v>54</v>
      </c>
      <c r="B16" s="27" t="n">
        <v>6.48</v>
      </c>
      <c r="C16" s="27" t="n">
        <v>0</v>
      </c>
      <c r="D16" s="27" t="n">
        <v>14.22</v>
      </c>
      <c r="E16" s="27" t="n">
        <v>1.88</v>
      </c>
      <c r="F16" s="27" t="n">
        <v>0.19</v>
      </c>
      <c r="G16" s="27" t="n">
        <v>0</v>
      </c>
      <c r="H16" s="27" t="n">
        <f aca="false">SUM(B16:G16)</f>
        <v>22.77</v>
      </c>
    </row>
    <row r="17" customFormat="false" ht="15" hidden="false" customHeight="false" outlineLevel="0" collapsed="false">
      <c r="A17" s="24" t="s">
        <v>55</v>
      </c>
      <c r="B17" s="25" t="n">
        <v>29.59</v>
      </c>
      <c r="C17" s="25" t="n">
        <v>0</v>
      </c>
      <c r="D17" s="25" t="n">
        <v>41.22</v>
      </c>
      <c r="E17" s="25" t="n">
        <v>6.97</v>
      </c>
      <c r="F17" s="25" t="n">
        <v>0.61</v>
      </c>
      <c r="G17" s="25" t="n">
        <v>0</v>
      </c>
      <c r="H17" s="25" t="n">
        <f aca="false">SUM(B17:G17)</f>
        <v>78.39</v>
      </c>
    </row>
    <row r="18" customFormat="false" ht="15" hidden="false" customHeight="false" outlineLevel="0" collapsed="false">
      <c r="A18" s="26" t="s">
        <v>56</v>
      </c>
      <c r="B18" s="27" t="n">
        <v>1.8</v>
      </c>
      <c r="C18" s="27" t="n">
        <v>0</v>
      </c>
      <c r="D18" s="27" t="n">
        <v>0.59</v>
      </c>
      <c r="E18" s="27" t="n">
        <v>0.65</v>
      </c>
      <c r="F18" s="27" t="n">
        <v>0.05</v>
      </c>
      <c r="G18" s="27" t="n">
        <v>0</v>
      </c>
      <c r="H18" s="27" t="n">
        <f aca="false">SUM(B18:G18)</f>
        <v>3.09</v>
      </c>
    </row>
    <row r="19" customFormat="false" ht="15" hidden="false" customHeight="false" outlineLevel="0" collapsed="false">
      <c r="A19" s="24" t="s">
        <v>57</v>
      </c>
      <c r="B19" s="25" t="n">
        <v>0.13</v>
      </c>
      <c r="C19" s="25" t="n">
        <v>0</v>
      </c>
      <c r="D19" s="25" t="n">
        <v>0.62</v>
      </c>
      <c r="E19" s="25" t="n">
        <v>0.06</v>
      </c>
      <c r="F19" s="25" t="n">
        <v>0.01</v>
      </c>
      <c r="G19" s="25" t="n">
        <v>0</v>
      </c>
      <c r="H19" s="25" t="n">
        <f aca="false">SUM(B19:G19)</f>
        <v>0.82</v>
      </c>
    </row>
    <row r="20" customFormat="false" ht="15" hidden="false" customHeight="false" outlineLevel="0" collapsed="false">
      <c r="A20" s="26" t="s">
        <v>58</v>
      </c>
      <c r="B20" s="27" t="n">
        <v>3.78</v>
      </c>
      <c r="C20" s="27" t="n">
        <v>0</v>
      </c>
      <c r="D20" s="27" t="n">
        <v>2.06</v>
      </c>
      <c r="E20" s="27" t="n">
        <v>0.54</v>
      </c>
      <c r="F20" s="27" t="n">
        <v>0.04</v>
      </c>
      <c r="G20" s="27" t="n">
        <v>0</v>
      </c>
      <c r="H20" s="27" t="n">
        <f aca="false">SUM(B20:G20)</f>
        <v>6.42</v>
      </c>
    </row>
    <row r="21" customFormat="false" ht="15" hidden="false" customHeight="false" outlineLevel="0" collapsed="false">
      <c r="A21" s="24" t="s">
        <v>59</v>
      </c>
      <c r="B21" s="25" t="n">
        <v>0.51</v>
      </c>
      <c r="C21" s="25" t="n">
        <v>0</v>
      </c>
      <c r="D21" s="25" t="n">
        <v>0.21</v>
      </c>
      <c r="E21" s="25" t="n">
        <v>0.04</v>
      </c>
      <c r="F21" s="25" t="n">
        <v>0.01</v>
      </c>
      <c r="G21" s="25" t="n">
        <v>0</v>
      </c>
      <c r="H21" s="25" t="n">
        <f aca="false">SUM(B21:G21)</f>
        <v>0.77</v>
      </c>
    </row>
    <row r="22" customFormat="false" ht="15" hidden="false" customHeight="false" outlineLevel="0" collapsed="false">
      <c r="A22" s="26" t="s">
        <v>60</v>
      </c>
      <c r="B22" s="27" t="n">
        <v>82.65</v>
      </c>
      <c r="C22" s="27" t="n">
        <v>0</v>
      </c>
      <c r="D22" s="27" t="n">
        <v>54.6</v>
      </c>
      <c r="E22" s="27" t="n">
        <v>7.37</v>
      </c>
      <c r="F22" s="27" t="n">
        <v>0.62</v>
      </c>
      <c r="G22" s="27" t="n">
        <v>0</v>
      </c>
      <c r="H22" s="27" t="n">
        <f aca="false">SUM(B22:G22)</f>
        <v>145.24</v>
      </c>
    </row>
    <row r="23" customFormat="false" ht="15" hidden="false" customHeight="false" outlineLevel="0" collapsed="false">
      <c r="A23" s="24" t="s">
        <v>61</v>
      </c>
      <c r="B23" s="25" t="n">
        <v>56.73</v>
      </c>
      <c r="C23" s="25" t="n">
        <v>0</v>
      </c>
      <c r="D23" s="25" t="n">
        <v>36.03</v>
      </c>
      <c r="E23" s="25" t="n">
        <v>8.69</v>
      </c>
      <c r="F23" s="25" t="n">
        <v>0.52</v>
      </c>
      <c r="G23" s="25" t="n">
        <v>0</v>
      </c>
      <c r="H23" s="25" t="n">
        <f aca="false">SUM(B23:G23)</f>
        <v>101.97</v>
      </c>
    </row>
    <row r="24" customFormat="false" ht="15" hidden="false" customHeight="false" outlineLevel="0" collapsed="false">
      <c r="A24" s="26" t="s">
        <v>62</v>
      </c>
      <c r="B24" s="27" t="n">
        <v>20.89</v>
      </c>
      <c r="C24" s="27" t="n">
        <v>0</v>
      </c>
      <c r="D24" s="27" t="n">
        <v>18.82</v>
      </c>
      <c r="E24" s="27" t="n">
        <v>4.76</v>
      </c>
      <c r="F24" s="27" t="n">
        <v>0.66</v>
      </c>
      <c r="G24" s="27" t="n">
        <v>0</v>
      </c>
      <c r="H24" s="27" t="n">
        <f aca="false">SUM(B24:G24)</f>
        <v>45.13</v>
      </c>
    </row>
    <row r="25" customFormat="false" ht="15" hidden="false" customHeight="false" outlineLevel="0" collapsed="false">
      <c r="A25" s="24" t="s">
        <v>63</v>
      </c>
      <c r="B25" s="25" t="n">
        <v>5.23</v>
      </c>
      <c r="C25" s="25" t="n">
        <v>0</v>
      </c>
      <c r="D25" s="25" t="n">
        <v>3.21</v>
      </c>
      <c r="E25" s="25" t="n">
        <v>0.34</v>
      </c>
      <c r="F25" s="25" t="n">
        <v>0.03</v>
      </c>
      <c r="G25" s="25" t="n">
        <v>0</v>
      </c>
      <c r="H25" s="25" t="n">
        <f aca="false">SUM(B25:G25)</f>
        <v>8.81</v>
      </c>
    </row>
    <row r="26" customFormat="false" ht="15" hidden="false" customHeight="false" outlineLevel="0" collapsed="false">
      <c r="A26" s="26" t="s">
        <v>64</v>
      </c>
      <c r="B26" s="27" t="n">
        <v>4.13</v>
      </c>
      <c r="C26" s="27" t="n">
        <v>0</v>
      </c>
      <c r="D26" s="27" t="n">
        <v>2.73</v>
      </c>
      <c r="E26" s="27" t="n">
        <v>0.33</v>
      </c>
      <c r="F26" s="27" t="n">
        <v>0.03</v>
      </c>
      <c r="G26" s="27" t="n">
        <v>0</v>
      </c>
      <c r="H26" s="27" t="n">
        <f aca="false">SUM(B26:G26)</f>
        <v>7.22</v>
      </c>
    </row>
    <row r="27" customFormat="false" ht="15" hidden="false" customHeight="false" outlineLevel="0" collapsed="false">
      <c r="A27" s="24" t="s">
        <v>65</v>
      </c>
      <c r="B27" s="25" t="n">
        <v>10.72</v>
      </c>
      <c r="C27" s="25" t="n">
        <v>0</v>
      </c>
      <c r="D27" s="25" t="n">
        <v>3.85</v>
      </c>
      <c r="E27" s="25" t="n">
        <v>0.9</v>
      </c>
      <c r="F27" s="25" t="n">
        <v>0.01</v>
      </c>
      <c r="G27" s="25" t="n">
        <v>0</v>
      </c>
      <c r="H27" s="25" t="n">
        <f aca="false">SUM(B27:G27)</f>
        <v>15.48</v>
      </c>
    </row>
    <row r="28" customFormat="false" ht="15" hidden="false" customHeight="false" outlineLevel="0" collapsed="false">
      <c r="A28" s="26" t="s">
        <v>66</v>
      </c>
      <c r="B28" s="27" t="n">
        <v>185.67</v>
      </c>
      <c r="C28" s="27" t="n">
        <v>0</v>
      </c>
      <c r="D28" s="27" t="n">
        <v>182.73</v>
      </c>
      <c r="E28" s="27" t="n">
        <v>8.61</v>
      </c>
      <c r="F28" s="27" t="n">
        <v>0</v>
      </c>
      <c r="G28" s="27" t="n">
        <v>0</v>
      </c>
      <c r="H28" s="27" t="n">
        <f aca="false">SUM(B28:G28)</f>
        <v>377.01</v>
      </c>
    </row>
    <row r="29" customFormat="false" ht="15" hidden="false" customHeight="false" outlineLevel="0" collapsed="false">
      <c r="A29" s="24" t="s">
        <v>67</v>
      </c>
      <c r="B29" s="25" t="n">
        <v>0</v>
      </c>
      <c r="C29" s="25" t="n">
        <v>0</v>
      </c>
      <c r="D29" s="25" t="n">
        <v>0</v>
      </c>
      <c r="E29" s="25" t="n">
        <v>0</v>
      </c>
      <c r="F29" s="25" t="n">
        <v>0</v>
      </c>
      <c r="G29" s="25" t="n">
        <v>0</v>
      </c>
      <c r="H29" s="25" t="n">
        <f aca="false">SUM(B29:G29)</f>
        <v>0</v>
      </c>
    </row>
    <row r="30" customFormat="false" ht="15" hidden="false" customHeight="false" outlineLevel="0" collapsed="false">
      <c r="A30" s="26" t="s">
        <v>68</v>
      </c>
      <c r="B30" s="27" t="n">
        <v>4.73</v>
      </c>
      <c r="C30" s="27" t="n">
        <v>0</v>
      </c>
      <c r="D30" s="27" t="n">
        <v>3.13</v>
      </c>
      <c r="E30" s="27" t="n">
        <v>0.37</v>
      </c>
      <c r="F30" s="27" t="n">
        <v>0.03</v>
      </c>
      <c r="G30" s="27" t="n">
        <v>0</v>
      </c>
      <c r="H30" s="27" t="n">
        <f aca="false">SUM(B30:G30)</f>
        <v>8.26</v>
      </c>
    </row>
    <row r="31" customFormat="false" ht="15" hidden="false" customHeight="false" outlineLevel="0" collapsed="false">
      <c r="A31" s="24" t="s">
        <v>69</v>
      </c>
      <c r="B31" s="25" t="n">
        <v>2.04</v>
      </c>
      <c r="C31" s="25" t="n">
        <v>0</v>
      </c>
      <c r="D31" s="25" t="n">
        <v>1.82</v>
      </c>
      <c r="E31" s="25" t="n">
        <v>0.32</v>
      </c>
      <c r="F31" s="25" t="n">
        <v>0.02</v>
      </c>
      <c r="G31" s="25" t="n">
        <v>0</v>
      </c>
      <c r="H31" s="25" t="n">
        <f aca="false">SUM(B31:G31)</f>
        <v>4.2</v>
      </c>
    </row>
    <row r="32" customFormat="false" ht="15" hidden="false" customHeight="false" outlineLevel="0" collapsed="false">
      <c r="A32" s="26" t="s">
        <v>70</v>
      </c>
      <c r="B32" s="27" t="n">
        <v>0.51</v>
      </c>
      <c r="C32" s="27" t="n">
        <v>0</v>
      </c>
      <c r="D32" s="27" t="n">
        <v>1.27</v>
      </c>
      <c r="E32" s="27" t="n">
        <v>0.12</v>
      </c>
      <c r="F32" s="27" t="n">
        <v>0.02</v>
      </c>
      <c r="G32" s="27" t="n">
        <v>0</v>
      </c>
      <c r="H32" s="27" t="n">
        <f aca="false">SUM(B32:G32)</f>
        <v>1.92</v>
      </c>
    </row>
    <row r="33" customFormat="false" ht="15" hidden="false" customHeight="false" outlineLevel="0" collapsed="false">
      <c r="A33" s="24" t="s">
        <v>71</v>
      </c>
      <c r="B33" s="25" t="n">
        <v>0.5</v>
      </c>
      <c r="C33" s="25" t="n">
        <v>0</v>
      </c>
      <c r="D33" s="25" t="n">
        <v>0.67</v>
      </c>
      <c r="E33" s="25" t="n">
        <v>0.01</v>
      </c>
      <c r="F33" s="25" t="n">
        <v>0</v>
      </c>
      <c r="G33" s="25" t="n">
        <v>0</v>
      </c>
      <c r="H33" s="25" t="n">
        <f aca="false">SUM(B33:G33)</f>
        <v>1.18</v>
      </c>
    </row>
    <row r="34" customFormat="false" ht="15" hidden="false" customHeight="false" outlineLevel="0" collapsed="false">
      <c r="A34" s="26" t="s">
        <v>72</v>
      </c>
      <c r="B34" s="27" t="n">
        <v>2.88</v>
      </c>
      <c r="C34" s="27" t="n">
        <v>0</v>
      </c>
      <c r="D34" s="27" t="n">
        <v>5.19</v>
      </c>
      <c r="E34" s="27" t="n">
        <v>0.57</v>
      </c>
      <c r="F34" s="27" t="n">
        <v>0.03</v>
      </c>
      <c r="G34" s="27" t="n">
        <v>0</v>
      </c>
      <c r="H34" s="27" t="n">
        <f aca="false">SUM(B34:G34)</f>
        <v>8.67</v>
      </c>
    </row>
    <row r="35" customFormat="false" ht="15" hidden="false" customHeight="false" outlineLevel="0" collapsed="false">
      <c r="A35" s="24" t="s">
        <v>73</v>
      </c>
      <c r="B35" s="25" t="n">
        <v>3.47</v>
      </c>
      <c r="C35" s="25" t="n">
        <v>0</v>
      </c>
      <c r="D35" s="25" t="n">
        <v>4.03</v>
      </c>
      <c r="E35" s="25" t="n">
        <v>0.96</v>
      </c>
      <c r="F35" s="25" t="n">
        <v>0.01</v>
      </c>
      <c r="G35" s="25" t="n">
        <v>0</v>
      </c>
      <c r="H35" s="25" t="n">
        <f aca="false">SUM(B35:G35)</f>
        <v>8.47</v>
      </c>
    </row>
    <row r="36" customFormat="false" ht="15" hidden="false" customHeight="false" outlineLevel="0" collapsed="false">
      <c r="A36" s="26" t="s">
        <v>74</v>
      </c>
      <c r="B36" s="27" t="n">
        <v>0</v>
      </c>
      <c r="C36" s="27" t="n">
        <v>0</v>
      </c>
      <c r="D36" s="27" t="n">
        <v>12.06</v>
      </c>
      <c r="E36" s="27" t="n">
        <v>2.79</v>
      </c>
      <c r="F36" s="27" t="n">
        <v>0.04</v>
      </c>
      <c r="G36" s="27" t="n">
        <v>0</v>
      </c>
      <c r="H36" s="27" t="n">
        <f aca="false">SUM(B36:G36)</f>
        <v>14.89</v>
      </c>
    </row>
    <row r="37" customFormat="false" ht="15" hidden="false" customHeight="false" outlineLevel="0" collapsed="false">
      <c r="A37" s="24" t="s">
        <v>75</v>
      </c>
      <c r="B37" s="25" t="n">
        <v>0.47</v>
      </c>
      <c r="C37" s="25" t="n">
        <v>0</v>
      </c>
      <c r="D37" s="25" t="n">
        <v>0.31</v>
      </c>
      <c r="E37" s="25" t="n">
        <v>0.04</v>
      </c>
      <c r="F37" s="25" t="n">
        <v>0</v>
      </c>
      <c r="G37" s="25" t="n">
        <v>0</v>
      </c>
      <c r="H37" s="25" t="n">
        <f aca="false">SUM(B37:G37)</f>
        <v>0.82</v>
      </c>
    </row>
    <row r="38" customFormat="false" ht="15" hidden="false" customHeight="false" outlineLevel="0" collapsed="false">
      <c r="A38" s="26" t="s">
        <v>76</v>
      </c>
      <c r="B38" s="27" t="n">
        <v>38.1</v>
      </c>
      <c r="C38" s="27" t="n">
        <v>0</v>
      </c>
      <c r="D38" s="27" t="n">
        <v>9.69</v>
      </c>
      <c r="E38" s="27" t="n">
        <v>0.9</v>
      </c>
      <c r="F38" s="27" t="n">
        <v>0.09</v>
      </c>
      <c r="G38" s="27" t="n">
        <v>0</v>
      </c>
      <c r="H38" s="27" t="n">
        <f aca="false">SUM(B38:G38)</f>
        <v>48.78</v>
      </c>
    </row>
    <row r="39" customFormat="false" ht="15" hidden="false" customHeight="false" outlineLevel="0" collapsed="false">
      <c r="A39" s="17" t="s">
        <v>16</v>
      </c>
      <c r="B39" s="18" t="n">
        <v>1249.72</v>
      </c>
      <c r="C39" s="18" t="n">
        <v>0</v>
      </c>
      <c r="D39" s="18" t="n">
        <v>1534.58</v>
      </c>
      <c r="E39" s="18" t="n">
        <v>237.96</v>
      </c>
      <c r="F39" s="18" t="n">
        <v>-389.02</v>
      </c>
      <c r="G39" s="18" t="n">
        <v>0</v>
      </c>
      <c r="H39" s="18" t="n">
        <f aca="false">SUM(B39:G39)</f>
        <v>2633.24</v>
      </c>
    </row>
    <row r="40" customFormat="false" ht="15" hidden="false" customHeight="false" outlineLevel="0" collapsed="false">
      <c r="A40" s="17" t="s">
        <v>17</v>
      </c>
      <c r="B40" s="18" t="n">
        <v>-4.61</v>
      </c>
      <c r="C40" s="18" t="n">
        <v>0</v>
      </c>
      <c r="D40" s="18" t="n">
        <v>23.51</v>
      </c>
      <c r="E40" s="18" t="n">
        <v>4.59</v>
      </c>
      <c r="F40" s="18" t="n">
        <v>-0.5</v>
      </c>
      <c r="G40" s="18" t="n">
        <v>0</v>
      </c>
      <c r="H40" s="18" t="n">
        <f aca="false">SUM(B40:G40)</f>
        <v>22.99</v>
      </c>
    </row>
    <row r="41" customFormat="false" ht="15" hidden="false" customHeight="false" outlineLevel="0" collapsed="false">
      <c r="A41" s="24" t="s">
        <v>77</v>
      </c>
      <c r="B41" s="25" t="n">
        <v>0</v>
      </c>
      <c r="C41" s="25" t="n">
        <v>0</v>
      </c>
      <c r="D41" s="25" t="n">
        <v>46.51</v>
      </c>
      <c r="E41" s="25" t="n">
        <v>5.46</v>
      </c>
      <c r="F41" s="25" t="n">
        <v>0.34</v>
      </c>
      <c r="G41" s="25" t="n">
        <v>0</v>
      </c>
      <c r="H41" s="25" t="n">
        <f aca="false">SUM(B41:G41)</f>
        <v>52.31</v>
      </c>
    </row>
    <row r="42" customFormat="false" ht="15" hidden="false" customHeight="false" outlineLevel="0" collapsed="false">
      <c r="A42" s="26" t="s">
        <v>78</v>
      </c>
      <c r="B42" s="27" t="n">
        <v>3.27</v>
      </c>
      <c r="C42" s="27" t="n">
        <v>0</v>
      </c>
      <c r="D42" s="27" t="n">
        <v>1.64</v>
      </c>
      <c r="E42" s="27" t="n">
        <v>0.3</v>
      </c>
      <c r="F42" s="27" t="n">
        <v>0</v>
      </c>
      <c r="G42" s="27" t="n">
        <v>0</v>
      </c>
      <c r="H42" s="27" t="n">
        <f aca="false">SUM(B42:G42)</f>
        <v>5.21</v>
      </c>
    </row>
    <row r="43" customFormat="false" ht="15" hidden="false" customHeight="false" outlineLevel="0" collapsed="false">
      <c r="A43" s="24" t="s">
        <v>79</v>
      </c>
      <c r="B43" s="25" t="n">
        <v>0.01</v>
      </c>
      <c r="C43" s="25" t="n">
        <v>0</v>
      </c>
      <c r="D43" s="25" t="n">
        <v>0.04</v>
      </c>
      <c r="E43" s="25" t="n">
        <v>0.03</v>
      </c>
      <c r="F43" s="25" t="n">
        <v>0.01</v>
      </c>
      <c r="G43" s="25" t="n">
        <v>0</v>
      </c>
      <c r="H43" s="25" t="n">
        <f aca="false">SUM(B43:G43)</f>
        <v>0.09</v>
      </c>
    </row>
    <row r="44" customFormat="false" ht="15" hidden="false" customHeight="false" outlineLevel="0" collapsed="false">
      <c r="A44" s="26" t="s">
        <v>80</v>
      </c>
      <c r="B44" s="27" t="n">
        <v>0</v>
      </c>
      <c r="C44" s="27" t="n">
        <v>0</v>
      </c>
      <c r="D44" s="27" t="n">
        <v>0</v>
      </c>
      <c r="E44" s="27" t="n">
        <v>0</v>
      </c>
      <c r="F44" s="27" t="n">
        <v>0</v>
      </c>
      <c r="G44" s="27" t="n">
        <v>0</v>
      </c>
      <c r="H44" s="27" t="n">
        <f aca="false">SUM(B44:G44)</f>
        <v>0</v>
      </c>
    </row>
    <row r="45" customFormat="false" ht="15" hidden="false" customHeight="false" outlineLevel="0" collapsed="false">
      <c r="A45" s="24" t="s">
        <v>81</v>
      </c>
      <c r="B45" s="25" t="n">
        <v>7.9</v>
      </c>
      <c r="C45" s="25" t="n">
        <v>0</v>
      </c>
      <c r="D45" s="25" t="n">
        <v>24.69</v>
      </c>
      <c r="E45" s="25" t="n">
        <v>1.19</v>
      </c>
      <c r="F45" s="25" t="n">
        <v>0.85</v>
      </c>
      <c r="G45" s="25" t="n">
        <v>0</v>
      </c>
      <c r="H45" s="25" t="n">
        <f aca="false">SUM(B45:G45)</f>
        <v>34.63</v>
      </c>
    </row>
    <row r="46" customFormat="false" ht="15" hidden="false" customHeight="false" outlineLevel="0" collapsed="false">
      <c r="A46" s="17" t="s">
        <v>82</v>
      </c>
      <c r="B46" s="18" t="n">
        <v>1245.1</v>
      </c>
      <c r="C46" s="18" t="n">
        <v>0</v>
      </c>
      <c r="D46" s="18" t="n">
        <v>1558.08</v>
      </c>
      <c r="E46" s="18" t="n">
        <v>242.55</v>
      </c>
      <c r="F46" s="18" t="n">
        <v>-389.52</v>
      </c>
      <c r="G46" s="18" t="n">
        <v>0</v>
      </c>
      <c r="H46" s="18" t="n">
        <f aca="false">SUM(B46:G46)</f>
        <v>2656.21</v>
      </c>
    </row>
    <row r="47" customFormat="false" ht="15" hidden="false" customHeight="false" outlineLevel="0" collapsed="false">
      <c r="A47" s="24" t="s">
        <v>83</v>
      </c>
      <c r="B47" s="25" t="n">
        <v>0</v>
      </c>
      <c r="C47" s="25" t="n">
        <v>0</v>
      </c>
      <c r="D47" s="25" t="n">
        <v>0</v>
      </c>
      <c r="E47" s="25" t="n">
        <v>0</v>
      </c>
      <c r="F47" s="25" t="n">
        <v>0</v>
      </c>
      <c r="G47" s="25" t="n">
        <v>0</v>
      </c>
      <c r="H47" s="25" t="n">
        <f aca="false">SUM(B47:G47)</f>
        <v>0</v>
      </c>
    </row>
    <row r="48" customFormat="false" ht="15" hidden="false" customHeight="false" outlineLevel="0" collapsed="false">
      <c r="A48" s="11" t="s">
        <v>18</v>
      </c>
      <c r="B48" s="28" t="n">
        <v>1245.1</v>
      </c>
      <c r="C48" s="28" t="n">
        <v>0</v>
      </c>
      <c r="D48" s="28" t="n">
        <v>1558.08</v>
      </c>
      <c r="E48" s="28" t="n">
        <v>242.55</v>
      </c>
      <c r="F48" s="28" t="n">
        <v>-389.52</v>
      </c>
      <c r="G48" s="28" t="n">
        <v>0</v>
      </c>
      <c r="H48" s="28" t="n">
        <f aca="false">SUM(B48:G48)</f>
        <v>2656.21</v>
      </c>
    </row>
    <row r="50" customFormat="false" ht="15" hidden="false" customHeight="false" outlineLevel="0" collapsed="false">
      <c r="A50" s="3" t="s">
        <v>84</v>
      </c>
      <c r="B50" s="3"/>
      <c r="C50" s="3"/>
      <c r="D50" s="3"/>
      <c r="E50" s="3"/>
      <c r="F50" s="3"/>
      <c r="G50" s="3"/>
      <c r="H50" s="3"/>
    </row>
    <row r="51" customFormat="false" ht="15" hidden="false" customHeight="false" outlineLevel="0" collapsed="false">
      <c r="A51" s="22" t="s">
        <v>3</v>
      </c>
      <c r="B51" s="23" t="s">
        <v>4</v>
      </c>
      <c r="C51" s="23" t="s">
        <v>5</v>
      </c>
      <c r="D51" s="23" t="s">
        <v>6</v>
      </c>
      <c r="E51" s="23" t="s">
        <v>7</v>
      </c>
      <c r="F51" s="23" t="s">
        <v>8</v>
      </c>
      <c r="G51" s="23" t="s">
        <v>9</v>
      </c>
      <c r="H51" s="23" t="s">
        <v>10</v>
      </c>
    </row>
    <row r="52" customFormat="false" ht="15" hidden="false" customHeight="false" outlineLevel="0" collapsed="false">
      <c r="A52" s="17" t="s">
        <v>12</v>
      </c>
      <c r="B52" s="19" t="n">
        <f aca="false">IF(B$4=0,0,B4/B$4)</f>
        <v>1</v>
      </c>
      <c r="C52" s="19" t="n">
        <f aca="false">IF(C$4=0,0,C4/C$4)</f>
        <v>0</v>
      </c>
      <c r="D52" s="19" t="n">
        <f aca="false">IF(D$4=0,0,D4/D$4)</f>
        <v>1</v>
      </c>
      <c r="E52" s="19" t="n">
        <f aca="false">IF(E$4=0,0,E4/E$4)</f>
        <v>1</v>
      </c>
      <c r="F52" s="19" t="n">
        <f aca="false">IF(F$4=0,0,F4/F$4)</f>
        <v>1</v>
      </c>
      <c r="G52" s="19" t="n">
        <f aca="false">IF(G$4=0,0,G4/G$4)</f>
        <v>0</v>
      </c>
      <c r="H52" s="19" t="n">
        <f aca="false">IF(H$4=0,0,H4/H$4)</f>
        <v>1</v>
      </c>
    </row>
    <row r="53" customFormat="false" ht="15" hidden="false" customHeight="false" outlineLevel="0" collapsed="false">
      <c r="A53" s="24" t="s">
        <v>35</v>
      </c>
      <c r="B53" s="29" t="n">
        <f aca="false">IF(B$4=0,0,B5/B$4)</f>
        <v>1</v>
      </c>
      <c r="C53" s="29" t="n">
        <f aca="false">IF(C$4=0,0,C5/C$4)</f>
        <v>0</v>
      </c>
      <c r="D53" s="29" t="n">
        <f aca="false">IF(D$4=0,0,D5/D$4)</f>
        <v>1</v>
      </c>
      <c r="E53" s="29" t="n">
        <f aca="false">IF(E$4=0,0,E5/E$4)</f>
        <v>1</v>
      </c>
      <c r="F53" s="29" t="n">
        <f aca="false">IF(F$4=0,0,F5/F$4)</f>
        <v>1</v>
      </c>
      <c r="G53" s="29" t="n">
        <f aca="false">IF(G$4=0,0,G5/G$4)</f>
        <v>0</v>
      </c>
      <c r="H53" s="29" t="n">
        <f aca="false">IF(H$4=0,0,H5/H$4)</f>
        <v>1</v>
      </c>
    </row>
    <row r="54" customFormat="false" ht="15" hidden="false" customHeight="false" outlineLevel="0" collapsed="false">
      <c r="A54" s="26" t="s">
        <v>40</v>
      </c>
      <c r="B54" s="30" t="n">
        <f aca="false">IF(B$4=0,0,B6/B$4)</f>
        <v>0</v>
      </c>
      <c r="C54" s="30" t="n">
        <f aca="false">IF(C$4=0,0,C6/C$4)</f>
        <v>0</v>
      </c>
      <c r="D54" s="30" t="n">
        <f aca="false">IF(D$4=0,0,D6/D$4)</f>
        <v>0</v>
      </c>
      <c r="E54" s="30" t="n">
        <f aca="false">IF(E$4=0,0,E6/E$4)</f>
        <v>0</v>
      </c>
      <c r="F54" s="30" t="n">
        <f aca="false">IF(F$4=0,0,F6/F$4)</f>
        <v>0</v>
      </c>
      <c r="G54" s="30" t="n">
        <f aca="false">IF(G$4=0,0,G6/G$4)</f>
        <v>0</v>
      </c>
      <c r="H54" s="30" t="n">
        <f aca="false">IF(H$4=0,0,H6/H$4)</f>
        <v>0</v>
      </c>
    </row>
    <row r="55" customFormat="false" ht="15" hidden="false" customHeight="false" outlineLevel="0" collapsed="false">
      <c r="A55" s="17" t="s">
        <v>13</v>
      </c>
      <c r="B55" s="19" t="n">
        <f aca="false">IF(B$4=0,0,B7/B$4)</f>
        <v>0.8</v>
      </c>
      <c r="C55" s="19" t="n">
        <f aca="false">IF(C$4=0,0,C7/C$4)</f>
        <v>0</v>
      </c>
      <c r="D55" s="19" t="n">
        <f aca="false">IF(D$4=0,0,D7/D$4)</f>
        <v>0.792275431581001</v>
      </c>
      <c r="E55" s="19" t="n">
        <f aca="false">IF(E$4=0,0,E7/E$4)</f>
        <v>0.691200396825397</v>
      </c>
      <c r="F55" s="19" t="n">
        <f aca="false">IF(F$4=0,0,F7/F$4)</f>
        <v>3.66243055555556</v>
      </c>
      <c r="G55" s="19" t="n">
        <f aca="false">IF(G$4=0,0,G7/G$4)</f>
        <v>0</v>
      </c>
      <c r="H55" s="19" t="n">
        <f aca="false">IF(H$4=0,0,H7/H$4)</f>
        <v>0.810680568176383</v>
      </c>
    </row>
    <row r="56" customFormat="false" ht="15" hidden="false" customHeight="false" outlineLevel="0" collapsed="false">
      <c r="A56" s="26" t="s">
        <v>47</v>
      </c>
      <c r="B56" s="30" t="n">
        <f aca="false">IF(B$4=0,0,B8/B$4)</f>
        <v>0.8</v>
      </c>
      <c r="C56" s="30" t="n">
        <f aca="false">IF(C$4=0,0,C8/C$4)</f>
        <v>0</v>
      </c>
      <c r="D56" s="30" t="n">
        <f aca="false">IF(D$4=0,0,D8/D$4)</f>
        <v>0.792275431581001</v>
      </c>
      <c r="E56" s="30" t="n">
        <f aca="false">IF(E$4=0,0,E8/E$4)</f>
        <v>0.691200396825397</v>
      </c>
      <c r="F56" s="30" t="n">
        <f aca="false">IF(F$4=0,0,F8/F$4)</f>
        <v>0.806388888888889</v>
      </c>
      <c r="G56" s="30" t="n">
        <f aca="false">IF(G$4=0,0,G8/G$4)</f>
        <v>0</v>
      </c>
      <c r="H56" s="30" t="n">
        <f aca="false">IF(H$4=0,0,H8/H$4)</f>
        <v>0.791011047874121</v>
      </c>
    </row>
    <row r="57" customFormat="false" ht="15" hidden="false" customHeight="false" outlineLevel="0" collapsed="false">
      <c r="A57" s="24" t="s">
        <v>49</v>
      </c>
      <c r="B57" s="29" t="n">
        <f aca="false">IF(B$4=0,0,B9/B$4)</f>
        <v>0</v>
      </c>
      <c r="C57" s="29" t="n">
        <f aca="false">IF(C$4=0,0,C9/C$4)</f>
        <v>0</v>
      </c>
      <c r="D57" s="29" t="n">
        <f aca="false">IF(D$4=0,0,D9/D$4)</f>
        <v>0</v>
      </c>
      <c r="E57" s="29" t="n">
        <f aca="false">IF(E$4=0,0,E9/E$4)</f>
        <v>0</v>
      </c>
      <c r="F57" s="29" t="n">
        <f aca="false">IF(F$4=0,0,F9/F$4)</f>
        <v>2.85604166666667</v>
      </c>
      <c r="G57" s="29" t="n">
        <f aca="false">IF(G$4=0,0,G9/G$4)</f>
        <v>0</v>
      </c>
      <c r="H57" s="29" t="n">
        <f aca="false">IF(H$4=0,0,H9/H$4)</f>
        <v>0.0196695203022622</v>
      </c>
    </row>
    <row r="58" customFormat="false" ht="15" hidden="false" customHeight="false" outlineLevel="0" collapsed="false">
      <c r="A58" s="26" t="s">
        <v>50</v>
      </c>
      <c r="B58" s="30" t="n">
        <f aca="false">IF(B$4=0,0,B10/B$4)</f>
        <v>0</v>
      </c>
      <c r="C58" s="30" t="n">
        <f aca="false">IF(C$4=0,0,C10/C$4)</f>
        <v>0</v>
      </c>
      <c r="D58" s="30" t="n">
        <f aca="false">IF(D$4=0,0,D10/D$4)</f>
        <v>0</v>
      </c>
      <c r="E58" s="30" t="n">
        <f aca="false">IF(E$4=0,0,E10/E$4)</f>
        <v>0</v>
      </c>
      <c r="F58" s="30" t="n">
        <f aca="false">IF(F$4=0,0,F10/F$4)</f>
        <v>0</v>
      </c>
      <c r="G58" s="30" t="n">
        <f aca="false">IF(G$4=0,0,G10/G$4)</f>
        <v>0</v>
      </c>
      <c r="H58" s="30" t="n">
        <f aca="false">IF(H$4=0,0,H10/H$4)</f>
        <v>0</v>
      </c>
    </row>
    <row r="59" customFormat="false" ht="15" hidden="false" customHeight="false" outlineLevel="0" collapsed="false">
      <c r="A59" s="17" t="s">
        <v>14</v>
      </c>
      <c r="B59" s="19" t="n">
        <f aca="false">IF(B$4=0,0,B11/B$4)</f>
        <v>0.2</v>
      </c>
      <c r="C59" s="19" t="n">
        <f aca="false">IF(C$4=0,0,C11/C$4)</f>
        <v>0</v>
      </c>
      <c r="D59" s="19" t="n">
        <f aca="false">IF(D$4=0,0,D11/D$4)</f>
        <v>0.207724568418999</v>
      </c>
      <c r="E59" s="19" t="n">
        <f aca="false">IF(E$4=0,0,E11/E$4)</f>
        <v>0.308799603174603</v>
      </c>
      <c r="F59" s="19" t="n">
        <f aca="false">IF(F$4=0,0,F11/F$4)</f>
        <v>-2.66243055555556</v>
      </c>
      <c r="G59" s="19" t="n">
        <f aca="false">IF(G$4=0,0,G11/G$4)</f>
        <v>0</v>
      </c>
      <c r="H59" s="19" t="n">
        <f aca="false">IF(H$4=0,0,H11/H$4)</f>
        <v>0.189319431823617</v>
      </c>
    </row>
    <row r="60" customFormat="false" ht="15" hidden="false" customHeight="false" outlineLevel="0" collapsed="false">
      <c r="A60" s="17" t="s">
        <v>15</v>
      </c>
      <c r="B60" s="19" t="n">
        <f aca="false">IF(B$4=0,0,B12/B$4)</f>
        <v>0.0685058922558923</v>
      </c>
      <c r="C60" s="19" t="n">
        <f aca="false">IF(C$4=0,0,C12/C$4)</f>
        <v>0</v>
      </c>
      <c r="D60" s="19" t="n">
        <f aca="false">IF(D$4=0,0,D12/D$4)</f>
        <v>0.0580532527065249</v>
      </c>
      <c r="E60" s="19" t="n">
        <f aca="false">IF(E$4=0,0,E12/E$4)</f>
        <v>0.0727281746031746</v>
      </c>
      <c r="F60" s="19" t="n">
        <f aca="false">IF(F$4=0,0,F12/F$4)</f>
        <v>0.0390972222222222</v>
      </c>
      <c r="G60" s="19" t="n">
        <f aca="false">IF(G$4=0,0,G12/G$4)</f>
        <v>0</v>
      </c>
      <c r="H60" s="19" t="n">
        <f aca="false">IF(H$4=0,0,H12/H$4)</f>
        <v>0.0633813190492133</v>
      </c>
    </row>
    <row r="61" customFormat="false" ht="15" hidden="false" customHeight="false" outlineLevel="0" collapsed="false">
      <c r="A61" s="24" t="s">
        <v>51</v>
      </c>
      <c r="B61" s="29" t="n">
        <f aca="false">IF(B$4=0,0,B13/B$4)</f>
        <v>0.00981376262626263</v>
      </c>
      <c r="C61" s="29" t="n">
        <f aca="false">IF(C$4=0,0,C13/C$4)</f>
        <v>0</v>
      </c>
      <c r="D61" s="29" t="n">
        <f aca="false">IF(D$4=0,0,D13/D$4)</f>
        <v>0.0179401150882668</v>
      </c>
      <c r="E61" s="29" t="n">
        <f aca="false">IF(E$4=0,0,E13/E$4)</f>
        <v>0.024890873015873</v>
      </c>
      <c r="F61" s="29" t="n">
        <f aca="false">IF(F$4=0,0,F13/F$4)</f>
        <v>0.0176388888888889</v>
      </c>
      <c r="G61" s="29" t="n">
        <f aca="false">IF(G$4=0,0,G13/G$4)</f>
        <v>0</v>
      </c>
      <c r="H61" s="29" t="n">
        <f aca="false">IF(H$4=0,0,H13/H$4)</f>
        <v>0.0145793677363815</v>
      </c>
    </row>
    <row r="62" customFormat="false" ht="15" hidden="false" customHeight="false" outlineLevel="0" collapsed="false">
      <c r="A62" s="26" t="s">
        <v>52</v>
      </c>
      <c r="B62" s="30" t="n">
        <f aca="false">IF(B$4=0,0,B14/B$4)</f>
        <v>0.00910774410774411</v>
      </c>
      <c r="C62" s="30" t="n">
        <f aca="false">IF(C$4=0,0,C14/C$4)</f>
        <v>0</v>
      </c>
      <c r="D62" s="30" t="n">
        <f aca="false">IF(D$4=0,0,D14/D$4)</f>
        <v>0</v>
      </c>
      <c r="E62" s="30" t="n">
        <f aca="false">IF(E$4=0,0,E14/E$4)</f>
        <v>0</v>
      </c>
      <c r="F62" s="30" t="n">
        <f aca="false">IF(F$4=0,0,F14/F$4)</f>
        <v>0</v>
      </c>
      <c r="G62" s="30" t="n">
        <f aca="false">IF(G$4=0,0,G14/G$4)</f>
        <v>0</v>
      </c>
      <c r="H62" s="30" t="n">
        <f aca="false">IF(H$4=0,0,H14/H$4)</f>
        <v>0.00413984408627864</v>
      </c>
    </row>
    <row r="63" customFormat="false" ht="15" hidden="false" customHeight="false" outlineLevel="0" collapsed="false">
      <c r="A63" s="24" t="s">
        <v>53</v>
      </c>
      <c r="B63" s="29" t="n">
        <f aca="false">IF(B$4=0,0,B15/B$4)</f>
        <v>0.000571338383838384</v>
      </c>
      <c r="C63" s="29" t="n">
        <f aca="false">IF(C$4=0,0,C15/C$4)</f>
        <v>0</v>
      </c>
      <c r="D63" s="29" t="n">
        <f aca="false">IF(D$4=0,0,D15/D$4)</f>
        <v>0.000321857017458305</v>
      </c>
      <c r="E63" s="29" t="n">
        <f aca="false">IF(E$4=0,0,E15/E$4)</f>
        <v>0.000476190476190476</v>
      </c>
      <c r="F63" s="29" t="n">
        <f aca="false">IF(F$4=0,0,F15/F$4)</f>
        <v>0.000486111111111111</v>
      </c>
      <c r="G63" s="29" t="n">
        <f aca="false">IF(G$4=0,0,G15/G$4)</f>
        <v>0</v>
      </c>
      <c r="H63" s="29" t="n">
        <f aca="false">IF(H$4=0,0,H15/H$4)</f>
        <v>0.000443828016643551</v>
      </c>
    </row>
    <row r="64" customFormat="false" ht="15" hidden="false" customHeight="false" outlineLevel="0" collapsed="false">
      <c r="A64" s="26" t="s">
        <v>54</v>
      </c>
      <c r="B64" s="30" t="n">
        <f aca="false">IF(B$4=0,0,B16/B$4)</f>
        <v>0.000681818181818182</v>
      </c>
      <c r="C64" s="30" t="n">
        <f aca="false">IF(C$4=0,0,C16/C$4)</f>
        <v>0</v>
      </c>
      <c r="D64" s="30" t="n">
        <f aca="false">IF(D$4=0,0,D16/D$4)</f>
        <v>0.0013869111479567</v>
      </c>
      <c r="E64" s="30" t="n">
        <f aca="false">IF(E$4=0,0,E16/E$4)</f>
        <v>0.00186507936507937</v>
      </c>
      <c r="F64" s="30" t="n">
        <f aca="false">IF(F$4=0,0,F16/F$4)</f>
        <v>0.00131944444444444</v>
      </c>
      <c r="G64" s="30" t="n">
        <f aca="false">IF(G$4=0,0,G16/G$4)</f>
        <v>0</v>
      </c>
      <c r="H64" s="30" t="n">
        <f aca="false">IF(H$4=0,0,H16/H$4)</f>
        <v>0.0010890047348032</v>
      </c>
    </row>
    <row r="65" customFormat="false" ht="15" hidden="false" customHeight="false" outlineLevel="0" collapsed="false">
      <c r="A65" s="24" t="s">
        <v>55</v>
      </c>
      <c r="B65" s="29" t="n">
        <f aca="false">IF(B$4=0,0,B17/B$4)</f>
        <v>0.00311342592592593</v>
      </c>
      <c r="C65" s="29" t="n">
        <f aca="false">IF(C$4=0,0,C17/C$4)</f>
        <v>0</v>
      </c>
      <c r="D65" s="29" t="n">
        <f aca="false">IF(D$4=0,0,D17/D$4)</f>
        <v>0.00402028674534283</v>
      </c>
      <c r="E65" s="29" t="n">
        <f aca="false">IF(E$4=0,0,E17/E$4)</f>
        <v>0.00691468253968254</v>
      </c>
      <c r="F65" s="29" t="n">
        <f aca="false">IF(F$4=0,0,F17/F$4)</f>
        <v>0.00423611111111111</v>
      </c>
      <c r="G65" s="29" t="n">
        <f aca="false">IF(G$4=0,0,G17/G$4)</f>
        <v>0</v>
      </c>
      <c r="H65" s="29" t="n">
        <f aca="false">IF(H$4=0,0,H17/H$4)</f>
        <v>0.00374910325697068</v>
      </c>
    </row>
    <row r="66" customFormat="false" ht="15" hidden="false" customHeight="false" outlineLevel="0" collapsed="false">
      <c r="A66" s="26" t="s">
        <v>56</v>
      </c>
      <c r="B66" s="30" t="n">
        <f aca="false">IF(B$4=0,0,B18/B$4)</f>
        <v>0.000189393939393939</v>
      </c>
      <c r="C66" s="30" t="n">
        <f aca="false">IF(C$4=0,0,C18/C$4)</f>
        <v>0</v>
      </c>
      <c r="D66" s="30" t="n">
        <f aca="false">IF(D$4=0,0,D18/D$4)</f>
        <v>5.75441334243636E-005</v>
      </c>
      <c r="E66" s="30" t="n">
        <f aca="false">IF(E$4=0,0,E18/E$4)</f>
        <v>0.00064484126984127</v>
      </c>
      <c r="F66" s="30" t="n">
        <f aca="false">IF(F$4=0,0,F18/F$4)</f>
        <v>0.000347222222222222</v>
      </c>
      <c r="G66" s="30" t="n">
        <f aca="false">IF(G$4=0,0,G18/G$4)</f>
        <v>0</v>
      </c>
      <c r="H66" s="30" t="n">
        <f aca="false">IF(H$4=0,0,H18/H$4)</f>
        <v>0.000147783251231527</v>
      </c>
    </row>
    <row r="67" customFormat="false" ht="15" hidden="false" customHeight="false" outlineLevel="0" collapsed="false">
      <c r="A67" s="24" t="s">
        <v>57</v>
      </c>
      <c r="B67" s="29" t="n">
        <f aca="false">IF(B$4=0,0,B19/B$4)</f>
        <v>1.36784511784512E-005</v>
      </c>
      <c r="C67" s="29" t="n">
        <f aca="false">IF(C$4=0,0,C19/C$4)</f>
        <v>0</v>
      </c>
      <c r="D67" s="29" t="n">
        <f aca="false">IF(D$4=0,0,D19/D$4)</f>
        <v>6.04701063103482E-005</v>
      </c>
      <c r="E67" s="29" t="n">
        <f aca="false">IF(E$4=0,0,E19/E$4)</f>
        <v>5.95238095238095E-005</v>
      </c>
      <c r="F67" s="29" t="n">
        <f aca="false">IF(F$4=0,0,F19/F$4)</f>
        <v>6.94444444444444E-005</v>
      </c>
      <c r="G67" s="29" t="n">
        <f aca="false">IF(G$4=0,0,G19/G$4)</f>
        <v>0</v>
      </c>
      <c r="H67" s="29" t="n">
        <f aca="false">IF(H$4=0,0,H19/H$4)</f>
        <v>3.92175618154862E-005</v>
      </c>
    </row>
    <row r="68" customFormat="false" ht="15" hidden="false" customHeight="false" outlineLevel="0" collapsed="false">
      <c r="A68" s="26" t="s">
        <v>58</v>
      </c>
      <c r="B68" s="30" t="n">
        <f aca="false">IF(B$4=0,0,B20/B$4)</f>
        <v>0.000397727272727273</v>
      </c>
      <c r="C68" s="30" t="n">
        <f aca="false">IF(C$4=0,0,C20/C$4)</f>
        <v>0</v>
      </c>
      <c r="D68" s="30" t="n">
        <f aca="false">IF(D$4=0,0,D20/D$4)</f>
        <v>0.000200916804837609</v>
      </c>
      <c r="E68" s="30" t="n">
        <f aca="false">IF(E$4=0,0,E20/E$4)</f>
        <v>0.000535714285714286</v>
      </c>
      <c r="F68" s="30" t="n">
        <f aca="false">IF(F$4=0,0,F20/F$4)</f>
        <v>0.000277777777777778</v>
      </c>
      <c r="G68" s="30" t="n">
        <f aca="false">IF(G$4=0,0,G20/G$4)</f>
        <v>0</v>
      </c>
      <c r="H68" s="30" t="n">
        <f aca="false">IF(H$4=0,0,H20/H$4)</f>
        <v>0.000307044813238318</v>
      </c>
    </row>
    <row r="69" customFormat="false" ht="15" hidden="false" customHeight="false" outlineLevel="0" collapsed="false">
      <c r="A69" s="24" t="s">
        <v>59</v>
      </c>
      <c r="B69" s="29" t="n">
        <f aca="false">IF(B$4=0,0,B21/B$4)</f>
        <v>5.36616161616162E-005</v>
      </c>
      <c r="C69" s="29" t="n">
        <f aca="false">IF(C$4=0,0,C21/C$4)</f>
        <v>0</v>
      </c>
      <c r="D69" s="29" t="n">
        <f aca="false">IF(D$4=0,0,D21/D$4)</f>
        <v>2.04818102018921E-005</v>
      </c>
      <c r="E69" s="29" t="n">
        <f aca="false">IF(E$4=0,0,E21/E$4)</f>
        <v>3.96825396825397E-005</v>
      </c>
      <c r="F69" s="29" t="n">
        <f aca="false">IF(F$4=0,0,F21/F$4)</f>
        <v>6.94444444444444E-005</v>
      </c>
      <c r="G69" s="29" t="n">
        <f aca="false">IF(G$4=0,0,G21/G$4)</f>
        <v>0</v>
      </c>
      <c r="H69" s="29" t="n">
        <f aca="false">IF(H$4=0,0,H21/H$4)</f>
        <v>3.68262470706394E-005</v>
      </c>
    </row>
    <row r="70" customFormat="false" ht="15" hidden="false" customHeight="false" outlineLevel="0" collapsed="false">
      <c r="A70" s="26" t="s">
        <v>60</v>
      </c>
      <c r="B70" s="30" t="n">
        <f aca="false">IF(B$4=0,0,B22/B$4)</f>
        <v>0.00869633838383838</v>
      </c>
      <c r="C70" s="30" t="n">
        <f aca="false">IF(C$4=0,0,C22/C$4)</f>
        <v>0</v>
      </c>
      <c r="D70" s="30" t="n">
        <f aca="false">IF(D$4=0,0,D22/D$4)</f>
        <v>0.00532527065249195</v>
      </c>
      <c r="E70" s="30" t="n">
        <f aca="false">IF(E$4=0,0,E22/E$4)</f>
        <v>0.00731150793650794</v>
      </c>
      <c r="F70" s="30" t="n">
        <f aca="false">IF(F$4=0,0,F22/F$4)</f>
        <v>0.00430555555555556</v>
      </c>
      <c r="G70" s="30" t="n">
        <f aca="false">IF(G$4=0,0,G22/G$4)</f>
        <v>0</v>
      </c>
      <c r="H70" s="30" t="n">
        <f aca="false">IF(H$4=0,0,H22/H$4)</f>
        <v>0.00694629107083074</v>
      </c>
    </row>
    <row r="71" customFormat="false" ht="15" hidden="false" customHeight="false" outlineLevel="0" collapsed="false">
      <c r="A71" s="24" t="s">
        <v>61</v>
      </c>
      <c r="B71" s="29" t="n">
        <f aca="false">IF(B$4=0,0,B23/B$4)</f>
        <v>0.00596906565656566</v>
      </c>
      <c r="C71" s="29" t="n">
        <f aca="false">IF(C$4=0,0,C23/C$4)</f>
        <v>0</v>
      </c>
      <c r="D71" s="29" t="n">
        <f aca="false">IF(D$4=0,0,D23/D$4)</f>
        <v>0.00351409343606749</v>
      </c>
      <c r="E71" s="29" t="n">
        <f aca="false">IF(E$4=0,0,E23/E$4)</f>
        <v>0.00862103174603175</v>
      </c>
      <c r="F71" s="29" t="n">
        <f aca="false">IF(F$4=0,0,F23/F$4)</f>
        <v>0.00361111111111111</v>
      </c>
      <c r="G71" s="29" t="n">
        <f aca="false">IF(G$4=0,0,G23/G$4)</f>
        <v>0</v>
      </c>
      <c r="H71" s="29" t="n">
        <f aca="false">IF(H$4=0,0,H23/H$4)</f>
        <v>0.00487684729064039</v>
      </c>
    </row>
    <row r="72" customFormat="false" ht="15" hidden="false" customHeight="false" outlineLevel="0" collapsed="false">
      <c r="A72" s="26" t="s">
        <v>62</v>
      </c>
      <c r="B72" s="30" t="n">
        <f aca="false">IF(B$4=0,0,B24/B$4)</f>
        <v>0.00219802188552189</v>
      </c>
      <c r="C72" s="30" t="n">
        <f aca="false">IF(C$4=0,0,C24/C$4)</f>
        <v>0</v>
      </c>
      <c r="D72" s="30" t="n">
        <f aca="false">IF(D$4=0,0,D24/D$4)</f>
        <v>0.00183556032380767</v>
      </c>
      <c r="E72" s="30" t="n">
        <f aca="false">IF(E$4=0,0,E24/E$4)</f>
        <v>0.00472222222222222</v>
      </c>
      <c r="F72" s="30" t="n">
        <f aca="false">IF(F$4=0,0,F24/F$4)</f>
        <v>0.00458333333333333</v>
      </c>
      <c r="G72" s="30" t="n">
        <f aca="false">IF(G$4=0,0,G24/G$4)</f>
        <v>0</v>
      </c>
      <c r="H72" s="30" t="n">
        <f aca="false">IF(H$4=0,0,H24/H$4)</f>
        <v>0.00215840068869865</v>
      </c>
    </row>
    <row r="73" customFormat="false" ht="15" hidden="false" customHeight="false" outlineLevel="0" collapsed="false">
      <c r="A73" s="24" t="s">
        <v>63</v>
      </c>
      <c r="B73" s="29" t="n">
        <f aca="false">IF(B$4=0,0,B25/B$4)</f>
        <v>0.000550294612794613</v>
      </c>
      <c r="C73" s="29" t="n">
        <f aca="false">IF(C$4=0,0,C25/C$4)</f>
        <v>0</v>
      </c>
      <c r="D73" s="29" t="n">
        <f aca="false">IF(D$4=0,0,D25/D$4)</f>
        <v>0.000313079098800351</v>
      </c>
      <c r="E73" s="29" t="n">
        <f aca="false">IF(E$4=0,0,E25/E$4)</f>
        <v>0.000337301587301587</v>
      </c>
      <c r="F73" s="29" t="n">
        <f aca="false">IF(F$4=0,0,F25/F$4)</f>
        <v>0.000208333333333333</v>
      </c>
      <c r="G73" s="29" t="n">
        <f aca="false">IF(G$4=0,0,G25/G$4)</f>
        <v>0</v>
      </c>
      <c r="H73" s="29" t="n">
        <f aca="false">IF(H$4=0,0,H25/H$4)</f>
        <v>0.000421349658041992</v>
      </c>
    </row>
    <row r="74" customFormat="false" ht="15" hidden="false" customHeight="false" outlineLevel="0" collapsed="false">
      <c r="A74" s="26" t="s">
        <v>64</v>
      </c>
      <c r="B74" s="30" t="n">
        <f aca="false">IF(B$4=0,0,B26/B$4)</f>
        <v>0.000434553872053872</v>
      </c>
      <c r="C74" s="30" t="n">
        <f aca="false">IF(C$4=0,0,C26/C$4)</f>
        <v>0</v>
      </c>
      <c r="D74" s="30" t="n">
        <f aca="false">IF(D$4=0,0,D26/D$4)</f>
        <v>0.000266263532624598</v>
      </c>
      <c r="E74" s="30" t="n">
        <f aca="false">IF(E$4=0,0,E26/E$4)</f>
        <v>0.000327380952380952</v>
      </c>
      <c r="F74" s="30" t="n">
        <f aca="false">IF(F$4=0,0,F26/F$4)</f>
        <v>0.000208333333333333</v>
      </c>
      <c r="G74" s="30" t="n">
        <f aca="false">IF(G$4=0,0,G26/G$4)</f>
        <v>0</v>
      </c>
      <c r="H74" s="30" t="n">
        <f aca="false">IF(H$4=0,0,H26/H$4)</f>
        <v>0.000345305849155866</v>
      </c>
    </row>
    <row r="75" customFormat="false" ht="15" hidden="false" customHeight="false" outlineLevel="0" collapsed="false">
      <c r="A75" s="24" t="s">
        <v>65</v>
      </c>
      <c r="B75" s="29" t="n">
        <f aca="false">IF(B$4=0,0,B27/B$4)</f>
        <v>0.00112794612794613</v>
      </c>
      <c r="C75" s="29" t="n">
        <f aca="false">IF(C$4=0,0,C27/C$4)</f>
        <v>0</v>
      </c>
      <c r="D75" s="29" t="n">
        <f aca="false">IF(D$4=0,0,D27/D$4)</f>
        <v>0.000375499853701356</v>
      </c>
      <c r="E75" s="29" t="n">
        <f aca="false">IF(E$4=0,0,E27/E$4)</f>
        <v>0.000892857142857143</v>
      </c>
      <c r="F75" s="29" t="n">
        <f aca="false">IF(F$4=0,0,F27/F$4)</f>
        <v>6.94444444444444E-005</v>
      </c>
      <c r="G75" s="29" t="n">
        <f aca="false">IF(G$4=0,0,G27/G$4)</f>
        <v>0</v>
      </c>
      <c r="H75" s="29" t="n">
        <f aca="false">IF(H$4=0,0,H27/H$4)</f>
        <v>0.000740351045004544</v>
      </c>
    </row>
    <row r="76" customFormat="false" ht="15" hidden="false" customHeight="false" outlineLevel="0" collapsed="false">
      <c r="A76" s="26" t="s">
        <v>66</v>
      </c>
      <c r="B76" s="30" t="n">
        <f aca="false">IF(B$4=0,0,B28/B$4)</f>
        <v>0.0195359848484848</v>
      </c>
      <c r="C76" s="30" t="n">
        <f aca="false">IF(C$4=0,0,C28/C$4)</f>
        <v>0</v>
      </c>
      <c r="D76" s="30" t="n">
        <f aca="false">IF(D$4=0,0,D28/D$4)</f>
        <v>0.0178221008485321</v>
      </c>
      <c r="E76" s="30" t="n">
        <f aca="false">IF(E$4=0,0,E28/E$4)</f>
        <v>0.00854166666666667</v>
      </c>
      <c r="F76" s="30" t="n">
        <f aca="false">IF(F$4=0,0,F28/F$4)</f>
        <v>0</v>
      </c>
      <c r="G76" s="30" t="n">
        <f aca="false">IF(G$4=0,0,G28/G$4)</f>
        <v>0</v>
      </c>
      <c r="H76" s="30" t="n">
        <f aca="false">IF(H$4=0,0,H28/H$4)</f>
        <v>0.0180309914390932</v>
      </c>
    </row>
    <row r="77" customFormat="false" ht="15" hidden="false" customHeight="false" outlineLevel="0" collapsed="false">
      <c r="A77" s="24" t="s">
        <v>67</v>
      </c>
      <c r="B77" s="29" t="n">
        <f aca="false">IF(B$4=0,0,B29/B$4)</f>
        <v>0</v>
      </c>
      <c r="C77" s="29" t="n">
        <f aca="false">IF(C$4=0,0,C29/C$4)</f>
        <v>0</v>
      </c>
      <c r="D77" s="29" t="n">
        <f aca="false">IF(D$4=0,0,D29/D$4)</f>
        <v>0</v>
      </c>
      <c r="E77" s="29" t="n">
        <f aca="false">IF(E$4=0,0,E29/E$4)</f>
        <v>0</v>
      </c>
      <c r="F77" s="29" t="n">
        <f aca="false">IF(F$4=0,0,F29/F$4)</f>
        <v>0</v>
      </c>
      <c r="G77" s="29" t="n">
        <f aca="false">IF(G$4=0,0,G29/G$4)</f>
        <v>0</v>
      </c>
      <c r="H77" s="29" t="n">
        <f aca="false">IF(H$4=0,0,H29/H$4)</f>
        <v>0</v>
      </c>
    </row>
    <row r="78" customFormat="false" ht="15" hidden="false" customHeight="false" outlineLevel="0" collapsed="false">
      <c r="A78" s="26" t="s">
        <v>68</v>
      </c>
      <c r="B78" s="30" t="n">
        <f aca="false">IF(B$4=0,0,B30/B$4)</f>
        <v>0.000497685185185185</v>
      </c>
      <c r="C78" s="30" t="n">
        <f aca="false">IF(C$4=0,0,C30/C$4)</f>
        <v>0</v>
      </c>
      <c r="D78" s="30" t="n">
        <f aca="false">IF(D$4=0,0,D30/D$4)</f>
        <v>0.000305276504437726</v>
      </c>
      <c r="E78" s="30" t="n">
        <f aca="false">IF(E$4=0,0,E30/E$4)</f>
        <v>0.000367063492063492</v>
      </c>
      <c r="F78" s="30" t="n">
        <f aca="false">IF(F$4=0,0,F30/F$4)</f>
        <v>0.000208333333333333</v>
      </c>
      <c r="G78" s="30" t="n">
        <f aca="false">IF(G$4=0,0,G30/G$4)</f>
        <v>0</v>
      </c>
      <c r="H78" s="30" t="n">
        <f aca="false">IF(H$4=0,0,H30/H$4)</f>
        <v>0.000395045195848678</v>
      </c>
    </row>
    <row r="79" customFormat="false" ht="15" hidden="false" customHeight="false" outlineLevel="0" collapsed="false">
      <c r="A79" s="24" t="s">
        <v>69</v>
      </c>
      <c r="B79" s="29" t="n">
        <f aca="false">IF(B$4=0,0,B31/B$4)</f>
        <v>0.000214646464646465</v>
      </c>
      <c r="C79" s="29" t="n">
        <f aca="false">IF(C$4=0,0,C31/C$4)</f>
        <v>0</v>
      </c>
      <c r="D79" s="29" t="n">
        <f aca="false">IF(D$4=0,0,D31/D$4)</f>
        <v>0.000177509021749732</v>
      </c>
      <c r="E79" s="29" t="n">
        <f aca="false">IF(E$4=0,0,E31/E$4)</f>
        <v>0.000317460317460317</v>
      </c>
      <c r="F79" s="29" t="n">
        <f aca="false">IF(F$4=0,0,F31/F$4)</f>
        <v>0.000138888888888889</v>
      </c>
      <c r="G79" s="29" t="n">
        <f aca="false">IF(G$4=0,0,G31/G$4)</f>
        <v>0</v>
      </c>
      <c r="H79" s="29" t="n">
        <f aca="false">IF(H$4=0,0,H31/H$4)</f>
        <v>0.000200870438567124</v>
      </c>
    </row>
    <row r="80" customFormat="false" ht="15" hidden="false" customHeight="false" outlineLevel="0" collapsed="false">
      <c r="A80" s="26" t="s">
        <v>70</v>
      </c>
      <c r="B80" s="30" t="n">
        <f aca="false">IF(B$4=0,0,B32/B$4)</f>
        <v>5.36616161616162E-005</v>
      </c>
      <c r="C80" s="30" t="n">
        <f aca="false">IF(C$4=0,0,C32/C$4)</f>
        <v>0</v>
      </c>
      <c r="D80" s="30" t="n">
        <f aca="false">IF(D$4=0,0,D32/D$4)</f>
        <v>0.000123866185506681</v>
      </c>
      <c r="E80" s="30" t="n">
        <f aca="false">IF(E$4=0,0,E32/E$4)</f>
        <v>0.000119047619047619</v>
      </c>
      <c r="F80" s="30" t="n">
        <f aca="false">IF(F$4=0,0,F32/F$4)</f>
        <v>0.000138888888888889</v>
      </c>
      <c r="G80" s="30" t="n">
        <f aca="false">IF(G$4=0,0,G32/G$4)</f>
        <v>0</v>
      </c>
      <c r="H80" s="30" t="n">
        <f aca="false">IF(H$4=0,0,H32/H$4)</f>
        <v>9.18264862021139E-005</v>
      </c>
    </row>
    <row r="81" customFormat="false" ht="15" hidden="false" customHeight="false" outlineLevel="0" collapsed="false">
      <c r="A81" s="24" t="s">
        <v>71</v>
      </c>
      <c r="B81" s="29" t="n">
        <f aca="false">IF(B$4=0,0,B33/B$4)</f>
        <v>5.26094276094276E-005</v>
      </c>
      <c r="C81" s="29" t="n">
        <f aca="false">IF(C$4=0,0,C33/C$4)</f>
        <v>0</v>
      </c>
      <c r="D81" s="29" t="n">
        <f aca="false">IF(D$4=0,0,D33/D$4)</f>
        <v>6.53467277869892E-005</v>
      </c>
      <c r="E81" s="29" t="n">
        <f aca="false">IF(E$4=0,0,E33/E$4)</f>
        <v>9.92063492063492E-006</v>
      </c>
      <c r="F81" s="29" t="n">
        <f aca="false">IF(F$4=0,0,F33/F$4)</f>
        <v>0</v>
      </c>
      <c r="G81" s="29" t="n">
        <f aca="false">IF(G$4=0,0,G33/G$4)</f>
        <v>0</v>
      </c>
      <c r="H81" s="29" t="n">
        <f aca="false">IF(H$4=0,0,H33/H$4)</f>
        <v>5.64350279783825E-005</v>
      </c>
    </row>
    <row r="82" customFormat="false" ht="15" hidden="false" customHeight="false" outlineLevel="0" collapsed="false">
      <c r="A82" s="26" t="s">
        <v>72</v>
      </c>
      <c r="B82" s="30" t="n">
        <f aca="false">IF(B$4=0,0,B34/B$4)</f>
        <v>0.000303030303030303</v>
      </c>
      <c r="C82" s="30" t="n">
        <f aca="false">IF(C$4=0,0,C34/C$4)</f>
        <v>0</v>
      </c>
      <c r="D82" s="30" t="n">
        <f aca="false">IF(D$4=0,0,D34/D$4)</f>
        <v>0.000506193309275334</v>
      </c>
      <c r="E82" s="30" t="n">
        <f aca="false">IF(E$4=0,0,E34/E$4)</f>
        <v>0.000565476190476191</v>
      </c>
      <c r="F82" s="30" t="n">
        <f aca="false">IF(F$4=0,0,F34/F$4)</f>
        <v>0.000208333333333333</v>
      </c>
      <c r="G82" s="30" t="n">
        <f aca="false">IF(G$4=0,0,G34/G$4)</f>
        <v>0</v>
      </c>
      <c r="H82" s="30" t="n">
        <f aca="false">IF(H$4=0,0,H34/H$4)</f>
        <v>0.000414653976756421</v>
      </c>
    </row>
    <row r="83" customFormat="false" ht="15" hidden="false" customHeight="false" outlineLevel="0" collapsed="false">
      <c r="A83" s="24" t="s">
        <v>73</v>
      </c>
      <c r="B83" s="29" t="n">
        <f aca="false">IF(B$4=0,0,B35/B$4)</f>
        <v>0.000365109427609428</v>
      </c>
      <c r="C83" s="29" t="n">
        <f aca="false">IF(C$4=0,0,C35/C$4)</f>
        <v>0</v>
      </c>
      <c r="D83" s="29" t="n">
        <f aca="false">IF(D$4=0,0,D35/D$4)</f>
        <v>0.000393055691017263</v>
      </c>
      <c r="E83" s="29" t="n">
        <f aca="false">IF(E$4=0,0,E35/E$4)</f>
        <v>0.000952380952380952</v>
      </c>
      <c r="F83" s="29" t="n">
        <f aca="false">IF(F$4=0,0,F35/F$4)</f>
        <v>6.94444444444444E-005</v>
      </c>
      <c r="G83" s="29" t="n">
        <f aca="false">IF(G$4=0,0,G35/G$4)</f>
        <v>0</v>
      </c>
      <c r="H83" s="29" t="n">
        <f aca="false">IF(H$4=0,0,H35/H$4)</f>
        <v>0.000405088717777034</v>
      </c>
    </row>
    <row r="84" customFormat="false" ht="15" hidden="false" customHeight="false" outlineLevel="0" collapsed="false">
      <c r="A84" s="26" t="s">
        <v>74</v>
      </c>
      <c r="B84" s="30" t="n">
        <f aca="false">IF(B$4=0,0,B36/B$4)</f>
        <v>0</v>
      </c>
      <c r="C84" s="30" t="n">
        <f aca="false">IF(C$4=0,0,C36/C$4)</f>
        <v>0</v>
      </c>
      <c r="D84" s="30" t="n">
        <f aca="false">IF(D$4=0,0,D36/D$4)</f>
        <v>0.00117624110016581</v>
      </c>
      <c r="E84" s="30" t="n">
        <f aca="false">IF(E$4=0,0,E36/E$4)</f>
        <v>0.00276785714285714</v>
      </c>
      <c r="F84" s="30" t="n">
        <f aca="false">IF(F$4=0,0,F36/F$4)</f>
        <v>0.000277777777777778</v>
      </c>
      <c r="G84" s="30" t="n">
        <f aca="false">IF(G$4=0,0,G36/G$4)</f>
        <v>0</v>
      </c>
      <c r="H84" s="30" t="n">
        <f aca="false">IF(H$4=0,0,H36/H$4)</f>
        <v>0.000712133531015352</v>
      </c>
    </row>
    <row r="85" customFormat="false" ht="15" hidden="false" customHeight="false" outlineLevel="0" collapsed="false">
      <c r="A85" s="24" t="s">
        <v>75</v>
      </c>
      <c r="B85" s="29" t="n">
        <f aca="false">IF(B$4=0,0,B37/B$4)</f>
        <v>4.9452861952862E-005</v>
      </c>
      <c r="C85" s="29" t="n">
        <f aca="false">IF(C$4=0,0,C37/C$4)</f>
        <v>0</v>
      </c>
      <c r="D85" s="29" t="n">
        <f aca="false">IF(D$4=0,0,D37/D$4)</f>
        <v>3.02350531551741E-005</v>
      </c>
      <c r="E85" s="29" t="n">
        <f aca="false">IF(E$4=0,0,E37/E$4)</f>
        <v>3.96825396825397E-005</v>
      </c>
      <c r="F85" s="29" t="n">
        <f aca="false">IF(F$4=0,0,F37/F$4)</f>
        <v>0</v>
      </c>
      <c r="G85" s="29" t="n">
        <f aca="false">IF(G$4=0,0,G37/G$4)</f>
        <v>0</v>
      </c>
      <c r="H85" s="29" t="n">
        <f aca="false">IF(H$4=0,0,H37/H$4)</f>
        <v>3.92175618154862E-005</v>
      </c>
    </row>
    <row r="86" customFormat="false" ht="15" hidden="false" customHeight="false" outlineLevel="0" collapsed="false">
      <c r="A86" s="26" t="s">
        <v>76</v>
      </c>
      <c r="B86" s="30" t="n">
        <f aca="false">IF(B$4=0,0,B38/B$4)</f>
        <v>0.00400883838383838</v>
      </c>
      <c r="C86" s="30" t="n">
        <f aca="false">IF(C$4=0,0,C38/C$4)</f>
        <v>0</v>
      </c>
      <c r="D86" s="30" t="n">
        <f aca="false">IF(D$4=0,0,D38/D$4)</f>
        <v>0.000945089242173023</v>
      </c>
      <c r="E86" s="30" t="n">
        <f aca="false">IF(E$4=0,0,E38/E$4)</f>
        <v>0.000892857142857143</v>
      </c>
      <c r="F86" s="30" t="n">
        <f aca="false">IF(F$4=0,0,F38/F$4)</f>
        <v>0.000625</v>
      </c>
      <c r="G86" s="30" t="n">
        <f aca="false">IF(G$4=0,0,G38/G$4)</f>
        <v>0</v>
      </c>
      <c r="H86" s="30" t="n">
        <f aca="false">IF(H$4=0,0,H38/H$4)</f>
        <v>0.00233296666507246</v>
      </c>
    </row>
    <row r="87" customFormat="false" ht="15" hidden="false" customHeight="false" outlineLevel="0" collapsed="false">
      <c r="A87" s="17" t="s">
        <v>16</v>
      </c>
      <c r="B87" s="19" t="n">
        <f aca="false">IF(B$4=0,0,B39/B$4)</f>
        <v>0.131494107744108</v>
      </c>
      <c r="C87" s="19" t="n">
        <f aca="false">IF(C$4=0,0,C39/C$4)</f>
        <v>0</v>
      </c>
      <c r="D87" s="19" t="n">
        <f aca="false">IF(D$4=0,0,D39/D$4)</f>
        <v>0.149671315712474</v>
      </c>
      <c r="E87" s="19" t="n">
        <f aca="false">IF(E$4=0,0,E39/E$4)</f>
        <v>0.236071428571429</v>
      </c>
      <c r="F87" s="19" t="n">
        <f aca="false">IF(F$4=0,0,F39/F$4)</f>
        <v>-2.70152777777778</v>
      </c>
      <c r="G87" s="19" t="n">
        <f aca="false">IF(G$4=0,0,G39/G$4)</f>
        <v>0</v>
      </c>
      <c r="H87" s="19" t="n">
        <f aca="false">IF(H$4=0,0,H39/H$4)</f>
        <v>0.125938112774403</v>
      </c>
    </row>
    <row r="88" customFormat="false" ht="15" hidden="false" customHeight="false" outlineLevel="0" collapsed="false">
      <c r="A88" s="17" t="s">
        <v>17</v>
      </c>
      <c r="B88" s="19" t="n">
        <f aca="false">IF(B$4=0,0,B40/B$4)</f>
        <v>-0.000485058922558923</v>
      </c>
      <c r="C88" s="19" t="n">
        <f aca="false">IF(C$4=0,0,C40/C$4)</f>
        <v>0</v>
      </c>
      <c r="D88" s="19" t="n">
        <f aca="false">IF(D$4=0,0,D40/D$4)</f>
        <v>0.00229298741831659</v>
      </c>
      <c r="E88" s="19" t="n">
        <f aca="false">IF(E$4=0,0,E40/E$4)</f>
        <v>0.00455357142857143</v>
      </c>
      <c r="F88" s="19" t="n">
        <f aca="false">IF(F$4=0,0,F40/F$4)</f>
        <v>-0.00347222222222222</v>
      </c>
      <c r="G88" s="19" t="n">
        <f aca="false">IF(G$4=0,0,G40/G$4)</f>
        <v>0</v>
      </c>
      <c r="H88" s="19" t="n">
        <f aca="false">IF(H$4=0,0,H40/H$4)</f>
        <v>0.00109952651968052</v>
      </c>
    </row>
    <row r="89" customFormat="false" ht="15" hidden="false" customHeight="false" outlineLevel="0" collapsed="false">
      <c r="A89" s="24" t="s">
        <v>77</v>
      </c>
      <c r="B89" s="29" t="n">
        <f aca="false">IF(B$4=0,0,B41/B$4)</f>
        <v>0</v>
      </c>
      <c r="C89" s="29" t="n">
        <f aca="false">IF(C$4=0,0,C41/C$4)</f>
        <v>0</v>
      </c>
      <c r="D89" s="29" t="n">
        <f aca="false">IF(D$4=0,0,D41/D$4)</f>
        <v>0.00453623329757144</v>
      </c>
      <c r="E89" s="29" t="n">
        <f aca="false">IF(E$4=0,0,E41/E$4)</f>
        <v>0.00541666666666667</v>
      </c>
      <c r="F89" s="29" t="n">
        <f aca="false">IF(F$4=0,0,F41/F$4)</f>
        <v>0.00236111111111111</v>
      </c>
      <c r="G89" s="29" t="n">
        <f aca="false">IF(G$4=0,0,G41/G$4)</f>
        <v>0</v>
      </c>
      <c r="H89" s="29" t="n">
        <f aca="false">IF(H$4=0,0,H41/H$4)</f>
        <v>0.00250179348605864</v>
      </c>
    </row>
    <row r="90" customFormat="false" ht="15" hidden="false" customHeight="false" outlineLevel="0" collapsed="false">
      <c r="A90" s="26" t="s">
        <v>78</v>
      </c>
      <c r="B90" s="30" t="n">
        <f aca="false">IF(B$4=0,0,B42/B$4)</f>
        <v>0.000344065656565657</v>
      </c>
      <c r="C90" s="30" t="n">
        <f aca="false">IF(C$4=0,0,C42/C$4)</f>
        <v>0</v>
      </c>
      <c r="D90" s="30" t="n">
        <f aca="false">IF(D$4=0,0,D42/D$4)</f>
        <v>0.000159953184433824</v>
      </c>
      <c r="E90" s="30" t="n">
        <f aca="false">IF(E$4=0,0,E42/E$4)</f>
        <v>0.000297619047619048</v>
      </c>
      <c r="F90" s="30" t="n">
        <f aca="false">IF(F$4=0,0,F42/F$4)</f>
        <v>0</v>
      </c>
      <c r="G90" s="30" t="n">
        <f aca="false">IF(G$4=0,0,G42/G$4)</f>
        <v>0</v>
      </c>
      <c r="H90" s="30" t="n">
        <f aca="false">IF(H$4=0,0,H42/H$4)</f>
        <v>0.000249174996413028</v>
      </c>
    </row>
    <row r="91" customFormat="false" ht="15" hidden="false" customHeight="false" outlineLevel="0" collapsed="false">
      <c r="A91" s="24" t="s">
        <v>79</v>
      </c>
      <c r="B91" s="29" t="n">
        <f aca="false">IF(B$4=0,0,B43/B$4)</f>
        <v>1.05218855218855E-006</v>
      </c>
      <c r="C91" s="29" t="n">
        <f aca="false">IF(C$4=0,0,C43/C$4)</f>
        <v>0</v>
      </c>
      <c r="D91" s="29" t="n">
        <f aca="false">IF(D$4=0,0,D43/D$4)</f>
        <v>3.90129718131279E-006</v>
      </c>
      <c r="E91" s="29" t="n">
        <f aca="false">IF(E$4=0,0,E43/E$4)</f>
        <v>2.97619047619048E-005</v>
      </c>
      <c r="F91" s="29" t="n">
        <f aca="false">IF(F$4=0,0,F43/F$4)</f>
        <v>6.94444444444444E-005</v>
      </c>
      <c r="G91" s="29" t="n">
        <f aca="false">IF(G$4=0,0,G43/G$4)</f>
        <v>0</v>
      </c>
      <c r="H91" s="29" t="n">
        <f aca="false">IF(H$4=0,0,H43/H$4)</f>
        <v>4.30436654072409E-006</v>
      </c>
    </row>
    <row r="92" customFormat="false" ht="15" hidden="false" customHeight="false" outlineLevel="0" collapsed="false">
      <c r="A92" s="26" t="s">
        <v>80</v>
      </c>
      <c r="B92" s="30" t="n">
        <f aca="false">IF(B$4=0,0,B44/B$4)</f>
        <v>0</v>
      </c>
      <c r="C92" s="30" t="n">
        <f aca="false">IF(C$4=0,0,C44/C$4)</f>
        <v>0</v>
      </c>
      <c r="D92" s="30" t="n">
        <f aca="false">IF(D$4=0,0,D44/D$4)</f>
        <v>0</v>
      </c>
      <c r="E92" s="30" t="n">
        <f aca="false">IF(E$4=0,0,E44/E$4)</f>
        <v>0</v>
      </c>
      <c r="F92" s="30" t="n">
        <f aca="false">IF(F$4=0,0,F44/F$4)</f>
        <v>0</v>
      </c>
      <c r="G92" s="30" t="n">
        <f aca="false">IF(G$4=0,0,G44/G$4)</f>
        <v>0</v>
      </c>
      <c r="H92" s="30" t="n">
        <f aca="false">IF(H$4=0,0,H44/H$4)</f>
        <v>0</v>
      </c>
    </row>
    <row r="93" customFormat="false" ht="15" hidden="false" customHeight="false" outlineLevel="0" collapsed="false">
      <c r="A93" s="24" t="s">
        <v>81</v>
      </c>
      <c r="B93" s="29" t="n">
        <f aca="false">IF(B$4=0,0,B45/B$4)</f>
        <v>0.000831228956228956</v>
      </c>
      <c r="C93" s="29" t="n">
        <f aca="false">IF(C$4=0,0,C45/C$4)</f>
        <v>0</v>
      </c>
      <c r="D93" s="29" t="n">
        <f aca="false">IF(D$4=0,0,D45/D$4)</f>
        <v>0.00240807568516532</v>
      </c>
      <c r="E93" s="29" t="n">
        <f aca="false">IF(E$4=0,0,E45/E$4)</f>
        <v>0.00118055555555556</v>
      </c>
      <c r="F93" s="29" t="n">
        <f aca="false">IF(F$4=0,0,F45/F$4)</f>
        <v>0.00590277777777778</v>
      </c>
      <c r="G93" s="29" t="n">
        <f aca="false">IF(G$4=0,0,G45/G$4)</f>
        <v>0</v>
      </c>
      <c r="H93" s="29" t="n">
        <f aca="false">IF(H$4=0,0,H45/H$4)</f>
        <v>0.00165622459228084</v>
      </c>
    </row>
    <row r="94" customFormat="false" ht="15" hidden="false" customHeight="false" outlineLevel="0" collapsed="false">
      <c r="A94" s="17" t="s">
        <v>82</v>
      </c>
      <c r="B94" s="19" t="n">
        <f aca="false">IF(B$4=0,0,B46/B$4)</f>
        <v>0.131007996632997</v>
      </c>
      <c r="C94" s="19" t="n">
        <f aca="false">IF(C$4=0,0,C46/C$4)</f>
        <v>0</v>
      </c>
      <c r="D94" s="19" t="n">
        <f aca="false">IF(D$4=0,0,D46/D$4)</f>
        <v>0.151963327806496</v>
      </c>
      <c r="E94" s="19" t="n">
        <f aca="false">IF(E$4=0,0,E46/E$4)</f>
        <v>0.240625</v>
      </c>
      <c r="F94" s="19" t="n">
        <f aca="false">IF(F$4=0,0,F46/F$4)</f>
        <v>-2.705</v>
      </c>
      <c r="G94" s="19" t="n">
        <f aca="false">IF(G$4=0,0,G46/G$4)</f>
        <v>0</v>
      </c>
      <c r="H94" s="19" t="n">
        <f aca="false">IF(H$4=0,0,H46/H$4)</f>
        <v>0.127036682768186</v>
      </c>
    </row>
    <row r="95" customFormat="false" ht="15" hidden="false" customHeight="false" outlineLevel="0" collapsed="false">
      <c r="A95" s="24" t="s">
        <v>83</v>
      </c>
      <c r="B95" s="29" t="n">
        <f aca="false">IF(B$4=0,0,B47/B$4)</f>
        <v>0</v>
      </c>
      <c r="C95" s="29" t="n">
        <f aca="false">IF(C$4=0,0,C47/C$4)</f>
        <v>0</v>
      </c>
      <c r="D95" s="29" t="n">
        <f aca="false">IF(D$4=0,0,D47/D$4)</f>
        <v>0</v>
      </c>
      <c r="E95" s="29" t="n">
        <f aca="false">IF(E$4=0,0,E47/E$4)</f>
        <v>0</v>
      </c>
      <c r="F95" s="29" t="n">
        <f aca="false">IF(F$4=0,0,F47/F$4)</f>
        <v>0</v>
      </c>
      <c r="G95" s="29" t="n">
        <f aca="false">IF(G$4=0,0,G47/G$4)</f>
        <v>0</v>
      </c>
      <c r="H95" s="29" t="n">
        <f aca="false">IF(H$4=0,0,H47/H$4)</f>
        <v>0</v>
      </c>
    </row>
    <row r="96" customFormat="false" ht="15" hidden="false" customHeight="false" outlineLevel="0" collapsed="false">
      <c r="A96" s="17" t="s">
        <v>18</v>
      </c>
      <c r="B96" s="19" t="n">
        <f aca="false">IF(B$4=0,0,B48/B$4)</f>
        <v>0.131007996632997</v>
      </c>
      <c r="C96" s="19" t="n">
        <f aca="false">IF(C$4=0,0,C48/C$4)</f>
        <v>0</v>
      </c>
      <c r="D96" s="19" t="n">
        <f aca="false">IF(D$4=0,0,D48/D$4)</f>
        <v>0.151963327806496</v>
      </c>
      <c r="E96" s="19" t="n">
        <f aca="false">IF(E$4=0,0,E48/E$4)</f>
        <v>0.240625</v>
      </c>
      <c r="F96" s="19" t="n">
        <f aca="false">IF(F$4=0,0,F48/F$4)</f>
        <v>-2.705</v>
      </c>
      <c r="G96" s="19" t="n">
        <f aca="false">IF(G$4=0,0,G48/G$4)</f>
        <v>0</v>
      </c>
      <c r="H96" s="19" t="n">
        <f aca="false">IF(H$4=0,0,H48/H$4)</f>
        <v>0.127036682768186</v>
      </c>
    </row>
  </sheetData>
  <mergeCells count="3">
    <mergeCell ref="A1:H1"/>
    <mergeCell ref="A2:H2"/>
    <mergeCell ref="A50:H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2026-08-18T00:17:09Z</dcterms:created>
  <dc:creator>openpyxl</dc:creator>
  <dc:description/>
  <dc:language>en-US</dc:language>
  <cp:lastModifiedBy/>
  <dcterms:modified xsi:type="dcterms:W3CDTF">2026-08-18T00:17:10Z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